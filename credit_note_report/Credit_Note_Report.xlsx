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port 1" sheetId="3" state="visible" r:id="rId3"/>
    <sheet xmlns:r="http://schemas.openxmlformats.org/officeDocument/2006/relationships" name="Calc" sheetId="4" state="hidden" r:id="rId4"/>
    <sheet xmlns:r="http://schemas.openxmlformats.org/officeDocument/2006/relationships" name="Report 2" sheetId="5" state="visible" r:id="rId5"/>
    <sheet xmlns:r="http://schemas.openxmlformats.org/officeDocument/2006/relationships" name="Report 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%;-0.0%;0.0%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B73"/>
      <sz val="15"/>
    </font>
    <font>
      <i val="1"/>
      <color rgb="00595959"/>
    </font>
    <font>
      <b val="1"/>
      <color rgb="001F3B73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B73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7" fontId="0" fillId="3" borderId="1" pivotButton="0" quotePrefix="0" xfId="0"/>
    <xf numFmtId="3" fontId="0" fillId="3" borderId="1" pivotButton="0" quotePrefix="0" xfId="0"/>
    <xf numFmtId="17" fontId="0" fillId="0" borderId="1" pivotButton="0" quotePrefix="0" xfId="0"/>
    <xf numFmtId="3" fontId="5" fillId="4" borderId="1" pivotButton="0" quotePrefix="0" xfId="0"/>
    <xf numFmtId="3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5" fillId="4" borderId="1" pivotButton="0" quotePrefix="0" xfId="0"/>
    <xf numFmtId="17" fontId="0" fillId="0" borderId="0" pivotButton="0" quotePrefix="0" xfId="0"/>
    <xf numFmtId="166" fontId="0" fillId="0" borderId="1" pivotButton="0" quotePrefix="0" xfId="0"/>
    <xf numFmtId="166" fontId="5" fillId="4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Invoices Count vs CNS Count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 1'!B4</f>
            </strRef>
          </tx>
          <spPr>
            <a:solidFill xmlns:a="http://schemas.openxmlformats.org/drawingml/2006/main">
              <a:srgbClr val="1F3B73"/>
            </a:solidFill>
            <a:ln xmlns:a="http://schemas.openxmlformats.org/drawingml/2006/main">
              <a:prstDash val="solid"/>
            </a:ln>
          </spPr>
          <cat>
            <numRef>
              <f>'Report 1'!$A$5:$A$17</f>
            </numRef>
          </cat>
          <val>
            <numRef>
              <f>'Report 1'!$B$5:$B$17</f>
            </numRef>
          </val>
        </ser>
        <ser>
          <idx val="1"/>
          <order val="1"/>
          <tx>
            <strRef>
              <f>'Report 1'!C4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'Report 1'!$A$5:$A$17</f>
            </numRef>
          </cat>
          <val>
            <numRef>
              <f>'Report 1'!$C$5:$C$17</f>
            </numRef>
          </val>
        </ser>
        <dLbls>
          <numFmt formatCode="#,##0" sourceLinked="0"/>
          <dLblPos val="outEnd"/>
          <showLegendKey val="0"/>
          <showVal val="1"/>
          <showCatName val="0"/>
          <showSerName val="0"/>
          <showPercent val="0"/>
          <showLeaderLines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Credit-note mix per month (share of each order type)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'Report 2'!X4</f>
            </strRef>
          </tx>
          <spPr>
            <a:solidFill xmlns:a="http://schemas.openxmlformats.org/drawingml/2006/main">
              <a:srgbClr val="1F3B73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2'!$X$5:$X$17</f>
            </numRef>
          </val>
        </ser>
        <ser>
          <idx val="1"/>
          <order val="1"/>
          <tx>
            <strRef>
              <f>'Report 2'!Y4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2'!$Y$5:$Y$17</f>
            </numRef>
          </val>
        </ser>
        <ser>
          <idx val="2"/>
          <order val="2"/>
          <tx>
            <strRef>
              <f>'Report 2'!Z4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2'!$Z$5:$Z$17</f>
            </numRef>
          </val>
        </ser>
        <ser>
          <idx val="3"/>
          <order val="3"/>
          <tx>
            <strRef>
              <f>'Report 2'!AA4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2'!$AA$5:$AA$17</f>
            </numRef>
          </val>
        </ser>
        <ser>
          <idx val="4"/>
          <order val="4"/>
          <tx>
            <strRef>
              <f>'Report 2'!AB4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2'!$AB$5:$AB$17</f>
            </numRef>
          </val>
        </ser>
        <ser>
          <idx val="5"/>
          <order val="5"/>
          <tx>
            <strRef>
              <f>'Report 2'!AC4</f>
            </strRef>
          </tx>
          <spPr>
            <a:solidFill xmlns:a="http://schemas.openxmlformats.org/drawingml/2006/main">
              <a:srgbClr val="8E44AD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2'!$AC$5:$AC$17</f>
            </numRef>
          </val>
        </ser>
        <ser>
          <idx val="6"/>
          <order val="6"/>
          <tx>
            <strRef>
              <f>'Report 2'!AD4</f>
            </strRef>
          </tx>
          <spPr>
            <a:solidFill xmlns:a="http://schemas.openxmlformats.org/drawingml/2006/main">
              <a:srgbClr val="16A085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2'!$AD$5:$AD$17</f>
            </numRef>
          </val>
        </ser>
        <ser>
          <idx val="7"/>
          <order val="7"/>
          <tx>
            <strRef>
              <f>'Report 2'!AE4</f>
            </strRef>
          </tx>
          <spPr>
            <a:solidFill xmlns:a="http://schemas.openxmlformats.org/drawingml/2006/main">
              <a:srgbClr val="BDC3C7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'Report 2'!$W$5:$W$17</f>
            </numRef>
          </cat>
          <val>
            <numRef>
              <f>'Report 2'!$AE$5:$AE$17</f>
            </numRef>
          </val>
        </ser>
        <dLbls>
          <numFmt formatCode="[&lt;0.035]&quot;&quot;;0%" sourceLinked="0"/>
          <showLegendKey val="0"/>
          <showVal val="1"/>
          <showCatName val="0"/>
          <showSerName val="0"/>
          <showPercent val="0"/>
          <showLeaderLines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credit notes by order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'Report 3'!C7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'Report 3'!$B$8:$B$26</f>
            </numRef>
          </cat>
          <val>
            <numRef>
              <f>'Report 3'!$C$8:$C$26</f>
            </numRef>
          </val>
        </ser>
        <dLbls>
          <numFmt formatCode="0.0%" sourceLinked="0"/>
          <dLblPos val="outEnd"/>
          <showLegendKey val="0"/>
          <showVal val="1"/>
          <showCatName val="0"/>
          <showSerName val="0"/>
          <showPercent val="0"/>
          <showLeaderLines val="0"/>
        </dLbls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Credit-note mix: top 4 order types</a:t>
            </a:r>
          </a:p>
        </rich>
      </tx>
    </title>
    <plotArea>
      <doughnutChart>
        <varyColors val="1"/>
        <ser>
          <idx val="0"/>
          <order val="0"/>
          <tx>
            <strRef>
              <f>'Report 3'!C29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 3'!$B$30:$B$34</f>
            </numRef>
          </cat>
          <val>
            <numRef>
              <f>'Report 3'!$C$30:$C$34</f>
            </numRef>
          </val>
        </ser>
        <dLbls>
          <numFmt formatCode="0.0%" sourceLinked="0"/>
          <showLegendKey val="0"/>
          <showVal val="1"/>
          <showCatName val="0"/>
          <showSerName val="0"/>
          <showPercent val="0"/>
          <showLeaderLines val="0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Invoices &amp; Credit Notes – Summary</t>
        </is>
      </c>
    </row>
    <row r="2">
      <c r="A2" s="2" t="inlineStr">
        <is>
          <t>All figures below are formulas and update when Inputs change.</t>
        </is>
      </c>
    </row>
    <row r="4" ht="32" customHeight="1">
      <c r="A4" s="3" t="inlineStr">
        <is>
          <t>Period</t>
        </is>
      </c>
      <c r="B4" s="4">
        <f>TEXT(Inputs!A5,"mmm yyyy")&amp;" to "&amp;TEXT(Inputs!A17,"mmm yyyy")&amp;" ("&amp;COUNT(Inputs!$A$5:$A$17)&amp;" months)."</f>
        <v/>
      </c>
    </row>
    <row r="5" ht="32" customHeight="1">
      <c r="A5" s="3" t="inlineStr">
        <is>
          <t>Totals</t>
        </is>
      </c>
      <c r="B5" s="4">
        <f>TEXT(SUM(Inputs!$B$5:$B$17),"#,##0")&amp;" invoices and "&amp;TEXT(SUM(Inputs!$C$5:$C$17),"#,##0")&amp;" credit notes; on average "&amp;TEXT(AVERAGE(Inputs!$B$5:$B$17),"#,##0")&amp;" invoices and "&amp;TEXT(AVERAGE(Inputs!$C$5:$C$17),"#,##0")&amp;" credit notes per month."</f>
        <v/>
      </c>
    </row>
    <row r="6" ht="32" customHeight="1">
      <c r="A6" s="3" t="inlineStr">
        <is>
          <t>Highest CNS</t>
        </is>
      </c>
      <c r="B6" s="4">
        <f>TEXT(INDEX(Inputs!$A$5:$A$17,MATCH(MAX(Inputs!$C$5:$C$17),Inputs!$C$5:$C$17,0)),"mmm yyyy")&amp;" with "&amp;TEXT(MAX(Inputs!$C$5:$C$17),"#,##0")&amp;" credit notes."</f>
        <v/>
      </c>
    </row>
    <row r="7" ht="32" customHeight="1">
      <c r="A7" s="3" t="inlineStr">
        <is>
          <t>Lowest CNS</t>
        </is>
      </c>
      <c r="B7" s="4">
        <f>TEXT(INDEX(Inputs!$A$5:$A$17,MATCH(MIN(Inputs!$C$5:$C$17),Inputs!$C$5:$C$17,0)),"mmm yyyy")&amp;" with "&amp;TEXT(MIN(Inputs!$C$5:$C$17),"#,##0")&amp;" credit notes."</f>
        <v/>
      </c>
    </row>
    <row r="8" ht="32" customHeight="1">
      <c r="A8" s="3" t="inlineStr">
        <is>
          <t>Highest invoices</t>
        </is>
      </c>
      <c r="B8" s="4">
        <f>TEXT(INDEX(Inputs!$A$5:$A$17,MATCH(MAX(Inputs!$B$5:$B$17),Inputs!$B$5:$B$17,0)),"mmm yyyy")&amp;" with "&amp;TEXT(MAX(Inputs!$B$5:$B$17),"#,##0")&amp;" invoices."</f>
        <v/>
      </c>
    </row>
    <row r="9" ht="32" customHeight="1">
      <c r="A9" s="3" t="inlineStr">
        <is>
          <t>Top order types</t>
        </is>
      </c>
      <c r="B9" s="4">
        <f>"In "&amp;TEXT('Report 3'!B3,"mmm yyyy")&amp;" – "&amp;TEXT('Report 3'!B4,"mmm yyyy")&amp;": "&amp;'Report 3'!B8&amp;" "&amp;TEXT('Report 3'!C8,"0.0%")&amp;", "&amp;'Report 3'!B9&amp;" "&amp;TEXT('Report 3'!C9,"0.0%")&amp;", "&amp;'Report 3'!B10&amp;" "&amp;TEXT('Report 3'!C10,"0.0%")&amp;" (together "&amp;TEXT('Report 3'!D10,"0.0%")&amp;" of credit notes)."</f>
        <v/>
      </c>
    </row>
    <row r="10" ht="32" customHeight="1">
      <c r="A10" s="3" t="inlineStr">
        <is>
          <t>Invoice peaks</t>
        </is>
      </c>
      <c r="B10" s="4">
        <f>"Invoices exceed 1.5x the median month in "&amp;COUNTIF(Inputs!$B$5:$B$17,"&gt;"&amp;1.5*MEDIAN(Inputs!$B$5:$B$17))&amp;" months, while CNS count does not rise with them."</f>
        <v/>
      </c>
    </row>
    <row r="13">
      <c r="A13" s="5" t="inlineStr">
        <is>
          <t>How to use</t>
        </is>
      </c>
    </row>
    <row r="14">
      <c r="A14" t="inlineStr">
        <is>
          <t>• Edit only the yellow cells on the Inputs sheet (and the start / end month on Report 3).</t>
        </is>
      </c>
    </row>
    <row r="15">
      <c r="A15" t="inlineStr">
        <is>
          <t>• Report 1: invoice and credit-note counts by month, with a chart and a written brief for every number.</t>
        </is>
      </c>
    </row>
    <row r="16">
      <c r="A16" t="inlineStr">
        <is>
          <t>• Report 2: percentage of credit notes per order type, by month (heatmap table and 100% stacked chart).</t>
        </is>
      </c>
    </row>
    <row r="17">
      <c r="A17" t="inlineStr">
        <is>
          <t>• Report 3: percentage of credit notes per order type over the chosen period (default Sep-2025 to Sep-2026).</t>
        </is>
      </c>
    </row>
    <row r="18">
      <c r="A18" t="inlineStr">
        <is>
          <t>• Order type 'Unknown' is excluded. Percentages use the sum of the remaining order types as 100%.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</cols>
  <sheetData>
    <row r="1">
      <c r="A1" s="1" t="inlineStr">
        <is>
          <t>Inputs – edit the yellow cells, every report and chart recalculates</t>
        </is>
      </c>
    </row>
    <row r="2">
      <c r="A2" s="2" t="inlineStr">
        <is>
          <t>Months must stay in order from Sep-2025 onwards. Order type 'Unknown' is excluded from all reports.</t>
        </is>
      </c>
    </row>
    <row r="3">
      <c r="A3" s="5" t="inlineStr">
        <is>
          <t>Invoice and credit note counts</t>
        </is>
      </c>
    </row>
    <row r="4">
      <c r="A4" s="6" t="inlineStr">
        <is>
          <t>Month</t>
        </is>
      </c>
      <c r="B4" s="6" t="inlineStr">
        <is>
          <t>Invoices Count</t>
        </is>
      </c>
      <c r="C4" s="6" t="inlineStr">
        <is>
          <t>CNS Count</t>
        </is>
      </c>
    </row>
    <row r="5">
      <c r="A5" s="7" t="n">
        <v>45901</v>
      </c>
      <c r="B5" s="8" t="n">
        <v>5416</v>
      </c>
      <c r="C5" s="8" t="n">
        <v>1028</v>
      </c>
    </row>
    <row r="6">
      <c r="A6" s="7" t="n">
        <v>45931</v>
      </c>
      <c r="B6" s="8" t="n">
        <v>10360</v>
      </c>
      <c r="C6" s="8" t="n">
        <v>2212</v>
      </c>
    </row>
    <row r="7">
      <c r="A7" s="7" t="n">
        <v>45962</v>
      </c>
      <c r="B7" s="8" t="n">
        <v>5496</v>
      </c>
      <c r="C7" s="8" t="n">
        <v>1338</v>
      </c>
    </row>
    <row r="8">
      <c r="A8" s="7" t="n">
        <v>45992</v>
      </c>
      <c r="B8" s="8" t="n">
        <v>5527</v>
      </c>
      <c r="C8" s="8" t="n">
        <v>598</v>
      </c>
    </row>
    <row r="9">
      <c r="A9" s="7" t="n">
        <v>46023</v>
      </c>
      <c r="B9" s="8" t="n">
        <v>10836</v>
      </c>
      <c r="C9" s="8" t="n">
        <v>703</v>
      </c>
    </row>
    <row r="10">
      <c r="A10" s="7" t="n">
        <v>46054</v>
      </c>
      <c r="B10" s="8" t="n">
        <v>5555</v>
      </c>
      <c r="C10" s="8" t="n">
        <v>1127</v>
      </c>
    </row>
    <row r="11">
      <c r="A11" s="7" t="n">
        <v>46082</v>
      </c>
      <c r="B11" s="8" t="n">
        <v>5586</v>
      </c>
      <c r="C11" s="8" t="n">
        <v>986</v>
      </c>
    </row>
    <row r="12">
      <c r="A12" s="7" t="n">
        <v>46113</v>
      </c>
      <c r="B12" s="8" t="n">
        <v>10638</v>
      </c>
      <c r="C12" s="8" t="n">
        <v>590</v>
      </c>
    </row>
    <row r="13">
      <c r="A13" s="7" t="n">
        <v>46143</v>
      </c>
      <c r="B13" s="8" t="n">
        <v>5623</v>
      </c>
      <c r="C13" s="8" t="n">
        <v>801</v>
      </c>
    </row>
    <row r="14">
      <c r="A14" s="7" t="n">
        <v>46174</v>
      </c>
      <c r="B14" s="8" t="n">
        <v>5668</v>
      </c>
      <c r="C14" s="8" t="n">
        <v>1038</v>
      </c>
    </row>
    <row r="15">
      <c r="A15" s="7" t="n">
        <v>46204</v>
      </c>
      <c r="B15" s="8" t="n">
        <v>9048</v>
      </c>
      <c r="C15" s="8" t="n">
        <v>658</v>
      </c>
    </row>
    <row r="16">
      <c r="A16" s="7" t="n">
        <v>46235</v>
      </c>
      <c r="B16" s="8" t="n">
        <v>5809</v>
      </c>
      <c r="C16" s="8" t="n">
        <v>1219</v>
      </c>
    </row>
    <row r="17">
      <c r="A17" s="7" t="n">
        <v>46266</v>
      </c>
      <c r="B17" s="8" t="n">
        <v>6254</v>
      </c>
      <c r="C17" s="8" t="n">
        <v>775</v>
      </c>
    </row>
    <row r="20">
      <c r="A20" s="5" t="inlineStr">
        <is>
          <t>Credit notes per order type (counts used for the percentages)</t>
        </is>
      </c>
    </row>
    <row r="21" ht="45" customHeight="1">
      <c r="A21" s="6" t="inlineStr">
        <is>
          <t>Month</t>
        </is>
      </c>
      <c r="B21" s="6" t="inlineStr">
        <is>
          <t>Add New Hardware</t>
        </is>
      </c>
      <c r="C21" s="6" t="inlineStr">
        <is>
          <t>Add on Change</t>
        </is>
      </c>
      <c r="D21" s="6" t="inlineStr">
        <is>
          <t>Billing Reactivation</t>
        </is>
      </c>
      <c r="E21" s="6" t="inlineStr">
        <is>
          <t>Change WO Speed</t>
        </is>
      </c>
      <c r="F21" s="6" t="inlineStr">
        <is>
          <t>Downgrade</t>
        </is>
      </c>
      <c r="G21" s="6" t="inlineStr">
        <is>
          <t>Downgrade MSAN</t>
        </is>
      </c>
      <c r="H21" s="6" t="inlineStr">
        <is>
          <t>HW Replace</t>
        </is>
      </c>
      <c r="I21" s="6" t="inlineStr">
        <is>
          <t>Migration by E-Support</t>
        </is>
      </c>
      <c r="J21" s="6" t="inlineStr">
        <is>
          <t>Move Hardware</t>
        </is>
      </c>
      <c r="K21" s="6" t="inlineStr">
        <is>
          <t>New</t>
        </is>
      </c>
      <c r="L21" s="6" t="inlineStr">
        <is>
          <t>Price Change</t>
        </is>
      </c>
      <c r="M21" s="6" t="inlineStr">
        <is>
          <t>Sale Reactivation</t>
        </is>
      </c>
      <c r="N21" s="6" t="inlineStr">
        <is>
          <t>Sale Suspension</t>
        </is>
      </c>
      <c r="O21" s="6" t="inlineStr">
        <is>
          <t>Service Relocation</t>
        </is>
      </c>
      <c r="P21" s="6" t="inlineStr">
        <is>
          <t>Service Shift</t>
        </is>
      </c>
      <c r="Q21" s="6" t="inlineStr">
        <is>
          <t>Service Transfer</t>
        </is>
      </c>
      <c r="R21" s="6" t="inlineStr">
        <is>
          <t>Transmission Media Change</t>
        </is>
      </c>
      <c r="S21" s="6" t="inlineStr">
        <is>
          <t>Upgrade</t>
        </is>
      </c>
      <c r="T21" s="6" t="inlineStr">
        <is>
          <t>Upgrade MSAN</t>
        </is>
      </c>
      <c r="U21" s="6" t="inlineStr">
        <is>
          <t>Total</t>
        </is>
      </c>
    </row>
    <row r="22">
      <c r="A22" s="9">
        <f>A5</f>
        <v/>
      </c>
      <c r="B22" s="8" t="n">
        <v>0</v>
      </c>
      <c r="C22" s="8" t="n">
        <v>0</v>
      </c>
      <c r="D22" s="8" t="n">
        <v>206</v>
      </c>
      <c r="E22" s="8" t="n">
        <v>10</v>
      </c>
      <c r="F22" s="8" t="n">
        <v>26</v>
      </c>
      <c r="G22" s="8" t="n">
        <v>2</v>
      </c>
      <c r="H22" s="8" t="n">
        <v>46</v>
      </c>
      <c r="I22" s="8" t="n">
        <v>0</v>
      </c>
      <c r="J22" s="8" t="n">
        <v>6</v>
      </c>
      <c r="K22" s="8" t="n">
        <v>3981</v>
      </c>
      <c r="L22" s="8" t="n">
        <v>358</v>
      </c>
      <c r="M22" s="8" t="n">
        <v>25</v>
      </c>
      <c r="N22" s="8" t="n">
        <v>22</v>
      </c>
      <c r="O22" s="8" t="n">
        <v>82</v>
      </c>
      <c r="P22" s="8" t="n">
        <v>2</v>
      </c>
      <c r="Q22" s="8" t="n">
        <v>247</v>
      </c>
      <c r="R22" s="8" t="n">
        <v>6</v>
      </c>
      <c r="S22" s="8" t="n">
        <v>170</v>
      </c>
      <c r="T22" s="8" t="n">
        <v>9</v>
      </c>
      <c r="U22" s="10">
        <f>SUM(B22:T22)</f>
        <v/>
      </c>
    </row>
    <row r="23">
      <c r="A23" s="9">
        <f>A6</f>
        <v/>
      </c>
      <c r="B23" s="8" t="n">
        <v>2</v>
      </c>
      <c r="C23" s="8" t="n">
        <v>0</v>
      </c>
      <c r="D23" s="8" t="n">
        <v>230</v>
      </c>
      <c r="E23" s="8" t="n">
        <v>0</v>
      </c>
      <c r="F23" s="8" t="n">
        <v>39</v>
      </c>
      <c r="G23" s="8" t="n">
        <v>3</v>
      </c>
      <c r="H23" s="8" t="n">
        <v>305</v>
      </c>
      <c r="I23" s="8" t="n">
        <v>0</v>
      </c>
      <c r="J23" s="8" t="n">
        <v>10</v>
      </c>
      <c r="K23" s="8" t="n">
        <v>8709</v>
      </c>
      <c r="L23" s="8" t="n">
        <v>781</v>
      </c>
      <c r="M23" s="8" t="n">
        <v>90</v>
      </c>
      <c r="N23" s="8" t="n">
        <v>648</v>
      </c>
      <c r="O23" s="8" t="n">
        <v>14</v>
      </c>
      <c r="P23" s="8" t="n">
        <v>4</v>
      </c>
      <c r="Q23" s="8" t="n">
        <v>10</v>
      </c>
      <c r="R23" s="8" t="n">
        <v>6</v>
      </c>
      <c r="S23" s="8" t="n">
        <v>881</v>
      </c>
      <c r="T23" s="8" t="n">
        <v>83</v>
      </c>
      <c r="U23" s="10">
        <f>SUM(B23:T23)</f>
        <v/>
      </c>
    </row>
    <row r="24">
      <c r="A24" s="9">
        <f>A7</f>
        <v/>
      </c>
      <c r="B24" s="8" t="n">
        <v>2</v>
      </c>
      <c r="C24" s="8" t="n">
        <v>0</v>
      </c>
      <c r="D24" s="8" t="n">
        <v>73</v>
      </c>
      <c r="E24" s="8" t="n">
        <v>9</v>
      </c>
      <c r="F24" s="8" t="n">
        <v>23</v>
      </c>
      <c r="G24" s="8" t="n">
        <v>3</v>
      </c>
      <c r="H24" s="8" t="n">
        <v>74</v>
      </c>
      <c r="I24" s="8" t="n">
        <v>2</v>
      </c>
      <c r="J24" s="8" t="n">
        <v>42</v>
      </c>
      <c r="K24" s="8" t="n">
        <v>2476</v>
      </c>
      <c r="L24" s="8" t="n">
        <v>163</v>
      </c>
      <c r="M24" s="8" t="n">
        <v>15</v>
      </c>
      <c r="N24" s="8" t="n">
        <v>138</v>
      </c>
      <c r="O24" s="8" t="n">
        <v>101</v>
      </c>
      <c r="P24" s="8" t="n">
        <v>20</v>
      </c>
      <c r="Q24" s="8" t="n">
        <v>122</v>
      </c>
      <c r="R24" s="8" t="n">
        <v>29</v>
      </c>
      <c r="S24" s="8" t="n">
        <v>343</v>
      </c>
      <c r="T24" s="8" t="n">
        <v>21</v>
      </c>
      <c r="U24" s="10">
        <f>SUM(B24:T24)</f>
        <v/>
      </c>
    </row>
    <row r="25">
      <c r="A25" s="9">
        <f>A8</f>
        <v/>
      </c>
      <c r="B25" s="8" t="n">
        <v>0</v>
      </c>
      <c r="C25" s="8" t="n">
        <v>1</v>
      </c>
      <c r="D25" s="8" t="n">
        <v>87</v>
      </c>
      <c r="E25" s="8" t="n">
        <v>8</v>
      </c>
      <c r="F25" s="8" t="n">
        <v>16</v>
      </c>
      <c r="G25" s="8" t="n">
        <v>0</v>
      </c>
      <c r="H25" s="8" t="n">
        <v>20</v>
      </c>
      <c r="I25" s="8" t="n">
        <v>0</v>
      </c>
      <c r="J25" s="8" t="n">
        <v>42</v>
      </c>
      <c r="K25" s="8" t="n">
        <v>1749</v>
      </c>
      <c r="L25" s="8" t="n">
        <v>491</v>
      </c>
      <c r="M25" s="8" t="n">
        <v>10</v>
      </c>
      <c r="N25" s="8" t="n">
        <v>48</v>
      </c>
      <c r="O25" s="8" t="n">
        <v>23</v>
      </c>
      <c r="P25" s="8" t="n">
        <v>2</v>
      </c>
      <c r="Q25" s="8" t="n">
        <v>506</v>
      </c>
      <c r="R25" s="8" t="n">
        <v>0</v>
      </c>
      <c r="S25" s="8" t="n">
        <v>125</v>
      </c>
      <c r="T25" s="8" t="n">
        <v>15</v>
      </c>
      <c r="U25" s="10">
        <f>SUM(B25:T25)</f>
        <v/>
      </c>
    </row>
    <row r="26">
      <c r="A26" s="9">
        <f>A9</f>
        <v/>
      </c>
      <c r="B26" s="8" t="n">
        <v>1</v>
      </c>
      <c r="C26" s="8" t="n">
        <v>0</v>
      </c>
      <c r="D26" s="8" t="n">
        <v>83</v>
      </c>
      <c r="E26" s="8" t="n">
        <v>4</v>
      </c>
      <c r="F26" s="8" t="n">
        <v>46</v>
      </c>
      <c r="G26" s="8" t="n">
        <v>1</v>
      </c>
      <c r="H26" s="8" t="n">
        <v>25</v>
      </c>
      <c r="I26" s="8" t="n">
        <v>1</v>
      </c>
      <c r="J26" s="8" t="n">
        <v>41</v>
      </c>
      <c r="K26" s="8" t="n">
        <v>5591</v>
      </c>
      <c r="L26" s="8" t="n">
        <v>1215</v>
      </c>
      <c r="M26" s="8" t="n">
        <v>6</v>
      </c>
      <c r="N26" s="8" t="n">
        <v>38</v>
      </c>
      <c r="O26" s="8" t="n">
        <v>14</v>
      </c>
      <c r="P26" s="8" t="n">
        <v>6</v>
      </c>
      <c r="Q26" s="8" t="n">
        <v>432</v>
      </c>
      <c r="R26" s="8" t="n">
        <v>14</v>
      </c>
      <c r="S26" s="8" t="n">
        <v>183</v>
      </c>
      <c r="T26" s="8" t="n">
        <v>22</v>
      </c>
      <c r="U26" s="10">
        <f>SUM(B26:T26)</f>
        <v/>
      </c>
    </row>
    <row r="27">
      <c r="A27" s="9">
        <f>A10</f>
        <v/>
      </c>
      <c r="B27" s="8" t="n">
        <v>0</v>
      </c>
      <c r="C27" s="8" t="n">
        <v>0</v>
      </c>
      <c r="D27" s="8" t="n">
        <v>72</v>
      </c>
      <c r="E27" s="8" t="n">
        <v>36</v>
      </c>
      <c r="F27" s="8" t="n">
        <v>96</v>
      </c>
      <c r="G27" s="8" t="n">
        <v>2</v>
      </c>
      <c r="H27" s="8" t="n">
        <v>265</v>
      </c>
      <c r="I27" s="8" t="n">
        <v>0</v>
      </c>
      <c r="J27" s="8" t="n">
        <v>35</v>
      </c>
      <c r="K27" s="8" t="n">
        <v>8608</v>
      </c>
      <c r="L27" s="8" t="n">
        <v>1756</v>
      </c>
      <c r="M27" s="8" t="n">
        <v>46</v>
      </c>
      <c r="N27" s="8" t="n">
        <v>74</v>
      </c>
      <c r="O27" s="8" t="n">
        <v>33</v>
      </c>
      <c r="P27" s="8" t="n">
        <v>6</v>
      </c>
      <c r="Q27" s="8" t="n">
        <v>335</v>
      </c>
      <c r="R27" s="8" t="n">
        <v>111</v>
      </c>
      <c r="S27" s="8" t="n">
        <v>331</v>
      </c>
      <c r="T27" s="8" t="n">
        <v>49</v>
      </c>
      <c r="U27" s="10">
        <f>SUM(B27:T27)</f>
        <v/>
      </c>
    </row>
    <row r="28">
      <c r="A28" s="9">
        <f>A11</f>
        <v/>
      </c>
      <c r="B28" s="8" t="n">
        <v>0</v>
      </c>
      <c r="C28" s="8" t="n">
        <v>0</v>
      </c>
      <c r="D28" s="8" t="n">
        <v>161</v>
      </c>
      <c r="E28" s="8" t="n">
        <v>9</v>
      </c>
      <c r="F28" s="8" t="n">
        <v>6</v>
      </c>
      <c r="G28" s="8" t="n">
        <v>3</v>
      </c>
      <c r="H28" s="8" t="n">
        <v>88</v>
      </c>
      <c r="I28" s="8" t="n">
        <v>0</v>
      </c>
      <c r="J28" s="8" t="n">
        <v>21</v>
      </c>
      <c r="K28" s="8" t="n">
        <v>1678</v>
      </c>
      <c r="L28" s="8" t="n">
        <v>612</v>
      </c>
      <c r="M28" s="8" t="n">
        <v>36</v>
      </c>
      <c r="N28" s="8" t="n">
        <v>65</v>
      </c>
      <c r="O28" s="8" t="n">
        <v>7</v>
      </c>
      <c r="P28" s="8" t="n">
        <v>9</v>
      </c>
      <c r="Q28" s="8" t="n">
        <v>485</v>
      </c>
      <c r="R28" s="8" t="n">
        <v>31</v>
      </c>
      <c r="S28" s="8" t="n">
        <v>174</v>
      </c>
      <c r="T28" s="8" t="n">
        <v>16</v>
      </c>
      <c r="U28" s="10">
        <f>SUM(B28:T28)</f>
        <v/>
      </c>
    </row>
    <row r="29">
      <c r="A29" s="9">
        <f>A12</f>
        <v/>
      </c>
      <c r="B29" s="8" t="n">
        <v>0</v>
      </c>
      <c r="C29" s="8" t="n">
        <v>0</v>
      </c>
      <c r="D29" s="8" t="n">
        <v>78</v>
      </c>
      <c r="E29" s="8" t="n">
        <v>8</v>
      </c>
      <c r="F29" s="8" t="n">
        <v>22</v>
      </c>
      <c r="G29" s="8" t="n">
        <v>0</v>
      </c>
      <c r="H29" s="8" t="n">
        <v>33</v>
      </c>
      <c r="I29" s="8" t="n">
        <v>0</v>
      </c>
      <c r="J29" s="8" t="n">
        <v>19</v>
      </c>
      <c r="K29" s="8" t="n">
        <v>1316</v>
      </c>
      <c r="L29" s="8" t="n">
        <v>156</v>
      </c>
      <c r="M29" s="8" t="n">
        <v>20</v>
      </c>
      <c r="N29" s="8" t="n">
        <v>34</v>
      </c>
      <c r="O29" s="8" t="n">
        <v>12</v>
      </c>
      <c r="P29" s="8" t="n">
        <v>4</v>
      </c>
      <c r="Q29" s="8" t="n">
        <v>1032</v>
      </c>
      <c r="R29" s="8" t="n">
        <v>11</v>
      </c>
      <c r="S29" s="8" t="n">
        <v>160</v>
      </c>
      <c r="T29" s="8" t="n">
        <v>29</v>
      </c>
      <c r="U29" s="10">
        <f>SUM(B29:T29)</f>
        <v/>
      </c>
    </row>
    <row r="30">
      <c r="A30" s="9">
        <f>A13</f>
        <v/>
      </c>
      <c r="B30" s="8" t="n">
        <v>10</v>
      </c>
      <c r="C30" s="8" t="n">
        <v>3</v>
      </c>
      <c r="D30" s="8" t="n">
        <v>32</v>
      </c>
      <c r="E30" s="8" t="n">
        <v>59</v>
      </c>
      <c r="F30" s="8" t="n">
        <v>54</v>
      </c>
      <c r="G30" s="8" t="n">
        <v>5</v>
      </c>
      <c r="H30" s="8" t="n">
        <v>25</v>
      </c>
      <c r="I30" s="8" t="n">
        <v>0</v>
      </c>
      <c r="J30" s="8" t="n">
        <v>36</v>
      </c>
      <c r="K30" s="8" t="n">
        <v>4275</v>
      </c>
      <c r="L30" s="8" t="n">
        <v>239</v>
      </c>
      <c r="M30" s="8" t="n">
        <v>25</v>
      </c>
      <c r="N30" s="8" t="n">
        <v>79</v>
      </c>
      <c r="O30" s="8" t="n">
        <v>20</v>
      </c>
      <c r="P30" s="8" t="n">
        <v>5</v>
      </c>
      <c r="Q30" s="8" t="n">
        <v>310</v>
      </c>
      <c r="R30" s="8" t="n">
        <v>11</v>
      </c>
      <c r="S30" s="8" t="n">
        <v>250</v>
      </c>
      <c r="T30" s="8" t="n">
        <v>58</v>
      </c>
      <c r="U30" s="10">
        <f>SUM(B30:T30)</f>
        <v/>
      </c>
    </row>
    <row r="31">
      <c r="A31" s="9">
        <f>A14</f>
        <v/>
      </c>
      <c r="B31" s="8" t="n">
        <v>0</v>
      </c>
      <c r="C31" s="8" t="n">
        <v>0</v>
      </c>
      <c r="D31" s="8" t="n">
        <v>75</v>
      </c>
      <c r="E31" s="8" t="n">
        <v>11</v>
      </c>
      <c r="F31" s="8" t="n">
        <v>30</v>
      </c>
      <c r="G31" s="8" t="n">
        <v>6</v>
      </c>
      <c r="H31" s="8" t="n">
        <v>23</v>
      </c>
      <c r="I31" s="8" t="n">
        <v>1</v>
      </c>
      <c r="J31" s="8" t="n">
        <v>35</v>
      </c>
      <c r="K31" s="8" t="n">
        <v>3765</v>
      </c>
      <c r="L31" s="8" t="n">
        <v>524</v>
      </c>
      <c r="M31" s="8" t="n">
        <v>15</v>
      </c>
      <c r="N31" s="8" t="n">
        <v>60</v>
      </c>
      <c r="O31" s="8" t="n">
        <v>11</v>
      </c>
      <c r="P31" s="8" t="n">
        <v>2</v>
      </c>
      <c r="Q31" s="8" t="n">
        <v>4299</v>
      </c>
      <c r="R31" s="8" t="n">
        <v>5</v>
      </c>
      <c r="S31" s="8" t="n">
        <v>257</v>
      </c>
      <c r="T31" s="8" t="n">
        <v>15</v>
      </c>
      <c r="U31" s="10">
        <f>SUM(B31:T31)</f>
        <v/>
      </c>
    </row>
    <row r="32">
      <c r="A32" s="9">
        <f>A15</f>
        <v/>
      </c>
      <c r="B32" s="8" t="n">
        <v>1</v>
      </c>
      <c r="C32" s="8" t="n">
        <v>0</v>
      </c>
      <c r="D32" s="8" t="n">
        <v>33</v>
      </c>
      <c r="E32" s="8" t="n">
        <v>14</v>
      </c>
      <c r="F32" s="8" t="n">
        <v>11</v>
      </c>
      <c r="G32" s="8" t="n">
        <v>2</v>
      </c>
      <c r="H32" s="8" t="n">
        <v>97</v>
      </c>
      <c r="I32" s="8" t="n">
        <v>0</v>
      </c>
      <c r="J32" s="8" t="n">
        <v>201</v>
      </c>
      <c r="K32" s="8" t="n">
        <v>4663</v>
      </c>
      <c r="L32" s="8" t="n">
        <v>1784</v>
      </c>
      <c r="M32" s="8" t="n">
        <v>13</v>
      </c>
      <c r="N32" s="8" t="n">
        <v>57</v>
      </c>
      <c r="O32" s="8" t="n">
        <v>134</v>
      </c>
      <c r="P32" s="8" t="n">
        <v>6</v>
      </c>
      <c r="Q32" s="8" t="n">
        <v>61</v>
      </c>
      <c r="R32" s="8" t="n">
        <v>7</v>
      </c>
      <c r="S32" s="8" t="n">
        <v>136</v>
      </c>
      <c r="T32" s="8" t="n">
        <v>52</v>
      </c>
      <c r="U32" s="10">
        <f>SUM(B32:T32)</f>
        <v/>
      </c>
    </row>
    <row r="33">
      <c r="A33" s="9">
        <f>A16</f>
        <v/>
      </c>
      <c r="B33" s="8" t="n">
        <v>0</v>
      </c>
      <c r="C33" s="8" t="n">
        <v>42</v>
      </c>
      <c r="D33" s="8" t="n">
        <v>67</v>
      </c>
      <c r="E33" s="8" t="n">
        <v>3</v>
      </c>
      <c r="F33" s="8" t="n">
        <v>37</v>
      </c>
      <c r="G33" s="8" t="n">
        <v>4</v>
      </c>
      <c r="H33" s="8" t="n">
        <v>94</v>
      </c>
      <c r="I33" s="8" t="n">
        <v>0</v>
      </c>
      <c r="J33" s="8" t="n">
        <v>121</v>
      </c>
      <c r="K33" s="8" t="n">
        <v>10412</v>
      </c>
      <c r="L33" s="8" t="n">
        <v>740</v>
      </c>
      <c r="M33" s="8" t="n">
        <v>23</v>
      </c>
      <c r="N33" s="8" t="n">
        <v>49</v>
      </c>
      <c r="O33" s="8" t="n">
        <v>142</v>
      </c>
      <c r="P33" s="8" t="n">
        <v>31</v>
      </c>
      <c r="Q33" s="8" t="n">
        <v>300</v>
      </c>
      <c r="R33" s="8" t="n">
        <v>38</v>
      </c>
      <c r="S33" s="8" t="n">
        <v>289</v>
      </c>
      <c r="T33" s="8" t="n">
        <v>31</v>
      </c>
      <c r="U33" s="10">
        <f>SUM(B33:T33)</f>
        <v/>
      </c>
    </row>
    <row r="34">
      <c r="A34" s="9">
        <f>A17</f>
        <v/>
      </c>
      <c r="B34" s="8" t="n">
        <v>9</v>
      </c>
      <c r="C34" s="8" t="n">
        <v>0</v>
      </c>
      <c r="D34" s="8" t="n">
        <v>128</v>
      </c>
      <c r="E34" s="8" t="n">
        <v>11</v>
      </c>
      <c r="F34" s="8" t="n">
        <v>28</v>
      </c>
      <c r="G34" s="8" t="n">
        <v>0</v>
      </c>
      <c r="H34" s="8" t="n">
        <v>189</v>
      </c>
      <c r="I34" s="8" t="n">
        <v>0</v>
      </c>
      <c r="J34" s="8" t="n">
        <v>37</v>
      </c>
      <c r="K34" s="8" t="n">
        <v>2622</v>
      </c>
      <c r="L34" s="8" t="n">
        <v>366</v>
      </c>
      <c r="M34" s="8" t="n">
        <v>13</v>
      </c>
      <c r="N34" s="8" t="n">
        <v>58</v>
      </c>
      <c r="O34" s="8" t="n">
        <v>20</v>
      </c>
      <c r="P34" s="8" t="n">
        <v>77</v>
      </c>
      <c r="Q34" s="8" t="n">
        <v>724</v>
      </c>
      <c r="R34" s="8" t="n">
        <v>26</v>
      </c>
      <c r="S34" s="8" t="n">
        <v>228</v>
      </c>
      <c r="T34" s="8" t="n">
        <v>18</v>
      </c>
      <c r="U34" s="10">
        <f>SUM(B34:T34)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Report 1 – Month · Invoices Count · CNS Count</t>
        </is>
      </c>
    </row>
    <row r="2">
      <c r="A2" s="2" t="inlineStr">
        <is>
          <t>MoM = change versus the previous month.</t>
        </is>
      </c>
    </row>
    <row r="4">
      <c r="A4" s="6" t="inlineStr">
        <is>
          <t>Month</t>
        </is>
      </c>
      <c r="B4" s="6" t="inlineStr">
        <is>
          <t>Invoices Count</t>
        </is>
      </c>
      <c r="C4" s="6" t="inlineStr">
        <is>
          <t>CNS Count</t>
        </is>
      </c>
      <c r="D4" s="6" t="inlineStr">
        <is>
          <t>Invoices MoM</t>
        </is>
      </c>
      <c r="E4" s="6" t="inlineStr">
        <is>
          <t>CNS MoM</t>
        </is>
      </c>
    </row>
    <row r="5">
      <c r="A5" s="9">
        <f>Inputs!A5</f>
        <v/>
      </c>
      <c r="B5" s="11">
        <f>Inputs!B5</f>
        <v/>
      </c>
      <c r="C5" s="11">
        <f>Inputs!C5</f>
        <v/>
      </c>
      <c r="D5" s="12" t="inlineStr">
        <is>
          <t>–</t>
        </is>
      </c>
      <c r="E5" s="12" t="inlineStr">
        <is>
          <t>–</t>
        </is>
      </c>
    </row>
    <row r="6">
      <c r="A6" s="9">
        <f>Inputs!A6</f>
        <v/>
      </c>
      <c r="B6" s="11">
        <f>Inputs!B6</f>
        <v/>
      </c>
      <c r="C6" s="11">
        <f>Inputs!C6</f>
        <v/>
      </c>
      <c r="D6" s="13">
        <f>IFERROR(B6/B5-1,0)</f>
        <v/>
      </c>
      <c r="E6" s="13">
        <f>IFERROR(C6/C5-1,0)</f>
        <v/>
      </c>
    </row>
    <row r="7">
      <c r="A7" s="9">
        <f>Inputs!A7</f>
        <v/>
      </c>
      <c r="B7" s="11">
        <f>Inputs!B7</f>
        <v/>
      </c>
      <c r="C7" s="11">
        <f>Inputs!C7</f>
        <v/>
      </c>
      <c r="D7" s="13">
        <f>IFERROR(B7/B6-1,0)</f>
        <v/>
      </c>
      <c r="E7" s="13">
        <f>IFERROR(C7/C6-1,0)</f>
        <v/>
      </c>
    </row>
    <row r="8">
      <c r="A8" s="9">
        <f>Inputs!A8</f>
        <v/>
      </c>
      <c r="B8" s="11">
        <f>Inputs!B8</f>
        <v/>
      </c>
      <c r="C8" s="11">
        <f>Inputs!C8</f>
        <v/>
      </c>
      <c r="D8" s="13">
        <f>IFERROR(B8/B7-1,0)</f>
        <v/>
      </c>
      <c r="E8" s="13">
        <f>IFERROR(C8/C7-1,0)</f>
        <v/>
      </c>
    </row>
    <row r="9">
      <c r="A9" s="9">
        <f>Inputs!A9</f>
        <v/>
      </c>
      <c r="B9" s="11">
        <f>Inputs!B9</f>
        <v/>
      </c>
      <c r="C9" s="11">
        <f>Inputs!C9</f>
        <v/>
      </c>
      <c r="D9" s="13">
        <f>IFERROR(B9/B8-1,0)</f>
        <v/>
      </c>
      <c r="E9" s="13">
        <f>IFERROR(C9/C8-1,0)</f>
        <v/>
      </c>
    </row>
    <row r="10">
      <c r="A10" s="9">
        <f>Inputs!A10</f>
        <v/>
      </c>
      <c r="B10" s="11">
        <f>Inputs!B10</f>
        <v/>
      </c>
      <c r="C10" s="11">
        <f>Inputs!C10</f>
        <v/>
      </c>
      <c r="D10" s="13">
        <f>IFERROR(B10/B9-1,0)</f>
        <v/>
      </c>
      <c r="E10" s="13">
        <f>IFERROR(C10/C9-1,0)</f>
        <v/>
      </c>
    </row>
    <row r="11">
      <c r="A11" s="9">
        <f>Inputs!A11</f>
        <v/>
      </c>
      <c r="B11" s="11">
        <f>Inputs!B11</f>
        <v/>
      </c>
      <c r="C11" s="11">
        <f>Inputs!C11</f>
        <v/>
      </c>
      <c r="D11" s="13">
        <f>IFERROR(B11/B10-1,0)</f>
        <v/>
      </c>
      <c r="E11" s="13">
        <f>IFERROR(C11/C10-1,0)</f>
        <v/>
      </c>
    </row>
    <row r="12">
      <c r="A12" s="9">
        <f>Inputs!A12</f>
        <v/>
      </c>
      <c r="B12" s="11">
        <f>Inputs!B12</f>
        <v/>
      </c>
      <c r="C12" s="11">
        <f>Inputs!C12</f>
        <v/>
      </c>
      <c r="D12" s="13">
        <f>IFERROR(B12/B11-1,0)</f>
        <v/>
      </c>
      <c r="E12" s="13">
        <f>IFERROR(C12/C11-1,0)</f>
        <v/>
      </c>
    </row>
    <row r="13">
      <c r="A13" s="9">
        <f>Inputs!A13</f>
        <v/>
      </c>
      <c r="B13" s="11">
        <f>Inputs!B13</f>
        <v/>
      </c>
      <c r="C13" s="11">
        <f>Inputs!C13</f>
        <v/>
      </c>
      <c r="D13" s="13">
        <f>IFERROR(B13/B12-1,0)</f>
        <v/>
      </c>
      <c r="E13" s="13">
        <f>IFERROR(C13/C12-1,0)</f>
        <v/>
      </c>
    </row>
    <row r="14">
      <c r="A14" s="9">
        <f>Inputs!A14</f>
        <v/>
      </c>
      <c r="B14" s="11">
        <f>Inputs!B14</f>
        <v/>
      </c>
      <c r="C14" s="11">
        <f>Inputs!C14</f>
        <v/>
      </c>
      <c r="D14" s="13">
        <f>IFERROR(B14/B13-1,0)</f>
        <v/>
      </c>
      <c r="E14" s="13">
        <f>IFERROR(C14/C13-1,0)</f>
        <v/>
      </c>
    </row>
    <row r="15">
      <c r="A15" s="9">
        <f>Inputs!A15</f>
        <v/>
      </c>
      <c r="B15" s="11">
        <f>Inputs!B15</f>
        <v/>
      </c>
      <c r="C15" s="11">
        <f>Inputs!C15</f>
        <v/>
      </c>
      <c r="D15" s="13">
        <f>IFERROR(B15/B14-1,0)</f>
        <v/>
      </c>
      <c r="E15" s="13">
        <f>IFERROR(C15/C14-1,0)</f>
        <v/>
      </c>
    </row>
    <row r="16">
      <c r="A16" s="9">
        <f>Inputs!A16</f>
        <v/>
      </c>
      <c r="B16" s="11">
        <f>Inputs!B16</f>
        <v/>
      </c>
      <c r="C16" s="11">
        <f>Inputs!C16</f>
        <v/>
      </c>
      <c r="D16" s="13">
        <f>IFERROR(B16/B15-1,0)</f>
        <v/>
      </c>
      <c r="E16" s="13">
        <f>IFERROR(C16/C15-1,0)</f>
        <v/>
      </c>
    </row>
    <row r="17">
      <c r="A17" s="9">
        <f>Inputs!A17</f>
        <v/>
      </c>
      <c r="B17" s="11">
        <f>Inputs!B17</f>
        <v/>
      </c>
      <c r="C17" s="11">
        <f>Inputs!C17</f>
        <v/>
      </c>
      <c r="D17" s="13">
        <f>IFERROR(B17/B16-1,0)</f>
        <v/>
      </c>
      <c r="E17" s="13">
        <f>IFERROR(C17/C16-1,0)</f>
        <v/>
      </c>
    </row>
    <row r="18">
      <c r="A18" s="14" t="inlineStr">
        <is>
          <t>Total</t>
        </is>
      </c>
      <c r="B18" s="10">
        <f>SUM(B5:B17)</f>
        <v/>
      </c>
      <c r="C18" s="10">
        <f>SUM(C5:C17)</f>
        <v/>
      </c>
    </row>
    <row r="19">
      <c r="A19" s="14" t="inlineStr">
        <is>
          <t>Monthly avg</t>
        </is>
      </c>
      <c r="B19" s="10">
        <f>AVERAGE(B5:B17)</f>
        <v/>
      </c>
      <c r="C19" s="10">
        <f>AVERAGE(C5:C17)</f>
        <v/>
      </c>
    </row>
    <row r="22">
      <c r="A22" s="5" t="inlineStr">
        <is>
          <t>Brief on each number</t>
        </is>
      </c>
    </row>
    <row r="23" ht="30" customHeight="1">
      <c r="A23" s="4">
        <f>TEXT(A5,"mmm yyyy")&amp;": "&amp;TEXT(B5,"#,##0")&amp;" invoices and "&amp;TEXT(C5,"#,##0")&amp;" credit notes. "&amp;"This is the first month of the range, so there is no previous month to compare with. "&amp;"CNS count is "&amp;IF(C5&gt;$C$19*1.25,"well above",IF(C5&lt;$C$19*0.75,"well below","close to"))&amp;" the "&amp;TEXT($C$19,"#,##0")&amp;" monthly average."</f>
        <v/>
      </c>
    </row>
    <row r="24" ht="30" customHeight="1">
      <c r="A24" s="4">
        <f>TEXT(A6,"mmm yyyy")&amp;": "&amp;TEXT(B6,"#,##0")&amp;" invoices and "&amp;TEXT(C6,"#,##0")&amp;" credit notes. "&amp;"Versus "&amp;TEXT(A5,"mmm yyyy")&amp;", invoices "&amp;IF(D6&gt;=0,"rose ","fell ")&amp;TEXT(ABS(D6),"0.0%")&amp;" and credit notes "&amp;IF(E6&gt;=0,"rose ","fell ")&amp;TEXT(ABS(E6),"0.0%")&amp;". "&amp;"CNS count is "&amp;IF(C6&gt;$C$19*1.25,"well above",IF(C6&lt;$C$19*0.75,"well below","close to"))&amp;" the "&amp;TEXT($C$19,"#,##0")&amp;" monthly average."</f>
        <v/>
      </c>
    </row>
    <row r="25" ht="30" customHeight="1">
      <c r="A25" s="4">
        <f>TEXT(A7,"mmm yyyy")&amp;": "&amp;TEXT(B7,"#,##0")&amp;" invoices and "&amp;TEXT(C7,"#,##0")&amp;" credit notes. "&amp;"Versus "&amp;TEXT(A6,"mmm yyyy")&amp;", invoices "&amp;IF(D7&gt;=0,"rose ","fell ")&amp;TEXT(ABS(D7),"0.0%")&amp;" and credit notes "&amp;IF(E7&gt;=0,"rose ","fell ")&amp;TEXT(ABS(E7),"0.0%")&amp;". "&amp;"CNS count is "&amp;IF(C7&gt;$C$19*1.25,"well above",IF(C7&lt;$C$19*0.75,"well below","close to"))&amp;" the "&amp;TEXT($C$19,"#,##0")&amp;" monthly average."</f>
        <v/>
      </c>
    </row>
    <row r="26" ht="30" customHeight="1">
      <c r="A26" s="4">
        <f>TEXT(A8,"mmm yyyy")&amp;": "&amp;TEXT(B8,"#,##0")&amp;" invoices and "&amp;TEXT(C8,"#,##0")&amp;" credit notes. "&amp;"Versus "&amp;TEXT(A7,"mmm yyyy")&amp;", invoices "&amp;IF(D8&gt;=0,"rose ","fell ")&amp;TEXT(ABS(D8),"0.0%")&amp;" and credit notes "&amp;IF(E8&gt;=0,"rose ","fell ")&amp;TEXT(ABS(E8),"0.0%")&amp;". "&amp;"CNS count is "&amp;IF(C8&gt;$C$19*1.25,"well above",IF(C8&lt;$C$19*0.75,"well below","close to"))&amp;" the "&amp;TEXT($C$19,"#,##0")&amp;" monthly average."</f>
        <v/>
      </c>
    </row>
    <row r="27" ht="30" customHeight="1">
      <c r="A27" s="4">
        <f>TEXT(A9,"mmm yyyy")&amp;": "&amp;TEXT(B9,"#,##0")&amp;" invoices and "&amp;TEXT(C9,"#,##0")&amp;" credit notes. "&amp;"Versus "&amp;TEXT(A8,"mmm yyyy")&amp;", invoices "&amp;IF(D9&gt;=0,"rose ","fell ")&amp;TEXT(ABS(D9),"0.0%")&amp;" and credit notes "&amp;IF(E9&gt;=0,"rose ","fell ")&amp;TEXT(ABS(E9),"0.0%")&amp;". "&amp;"CNS count is "&amp;IF(C9&gt;$C$19*1.25,"well above",IF(C9&lt;$C$19*0.75,"well below","close to"))&amp;" the "&amp;TEXT($C$19,"#,##0")&amp;" monthly average."</f>
        <v/>
      </c>
    </row>
    <row r="28" ht="30" customHeight="1">
      <c r="A28" s="4">
        <f>TEXT(A10,"mmm yyyy")&amp;": "&amp;TEXT(B10,"#,##0")&amp;" invoices and "&amp;TEXT(C10,"#,##0")&amp;" credit notes. "&amp;"Versus "&amp;TEXT(A9,"mmm yyyy")&amp;", invoices "&amp;IF(D10&gt;=0,"rose ","fell ")&amp;TEXT(ABS(D10),"0.0%")&amp;" and credit notes "&amp;IF(E10&gt;=0,"rose ","fell ")&amp;TEXT(ABS(E10),"0.0%")&amp;". "&amp;"CNS count is "&amp;IF(C10&gt;$C$19*1.25,"well above",IF(C10&lt;$C$19*0.75,"well below","close to"))&amp;" the "&amp;TEXT($C$19,"#,##0")&amp;" monthly average."</f>
        <v/>
      </c>
    </row>
    <row r="29" ht="30" customHeight="1">
      <c r="A29" s="4">
        <f>TEXT(A11,"mmm yyyy")&amp;": "&amp;TEXT(B11,"#,##0")&amp;" invoices and "&amp;TEXT(C11,"#,##0")&amp;" credit notes. "&amp;"Versus "&amp;TEXT(A10,"mmm yyyy")&amp;", invoices "&amp;IF(D11&gt;=0,"rose ","fell ")&amp;TEXT(ABS(D11),"0.0%")&amp;" and credit notes "&amp;IF(E11&gt;=0,"rose ","fell ")&amp;TEXT(ABS(E11),"0.0%")&amp;". "&amp;"CNS count is "&amp;IF(C11&gt;$C$19*1.25,"well above",IF(C11&lt;$C$19*0.75,"well below","close to"))&amp;" the "&amp;TEXT($C$19,"#,##0")&amp;" monthly average."</f>
        <v/>
      </c>
    </row>
    <row r="30" ht="30" customHeight="1">
      <c r="A30" s="4">
        <f>TEXT(A12,"mmm yyyy")&amp;": "&amp;TEXT(B12,"#,##0")&amp;" invoices and "&amp;TEXT(C12,"#,##0")&amp;" credit notes. "&amp;"Versus "&amp;TEXT(A11,"mmm yyyy")&amp;", invoices "&amp;IF(D12&gt;=0,"rose ","fell ")&amp;TEXT(ABS(D12),"0.0%")&amp;" and credit notes "&amp;IF(E12&gt;=0,"rose ","fell ")&amp;TEXT(ABS(E12),"0.0%")&amp;". "&amp;"CNS count is "&amp;IF(C12&gt;$C$19*1.25,"well above",IF(C12&lt;$C$19*0.75,"well below","close to"))&amp;" the "&amp;TEXT($C$19,"#,##0")&amp;" monthly average."</f>
        <v/>
      </c>
    </row>
    <row r="31" ht="30" customHeight="1">
      <c r="A31" s="4">
        <f>TEXT(A13,"mmm yyyy")&amp;": "&amp;TEXT(B13,"#,##0")&amp;" invoices and "&amp;TEXT(C13,"#,##0")&amp;" credit notes. "&amp;"Versus "&amp;TEXT(A12,"mmm yyyy")&amp;", invoices "&amp;IF(D13&gt;=0,"rose ","fell ")&amp;TEXT(ABS(D13),"0.0%")&amp;" and credit notes "&amp;IF(E13&gt;=0,"rose ","fell ")&amp;TEXT(ABS(E13),"0.0%")&amp;". "&amp;"CNS count is "&amp;IF(C13&gt;$C$19*1.25,"well above",IF(C13&lt;$C$19*0.75,"well below","close to"))&amp;" the "&amp;TEXT($C$19,"#,##0")&amp;" monthly average."</f>
        <v/>
      </c>
    </row>
    <row r="32" ht="30" customHeight="1">
      <c r="A32" s="4">
        <f>TEXT(A14,"mmm yyyy")&amp;": "&amp;TEXT(B14,"#,##0")&amp;" invoices and "&amp;TEXT(C14,"#,##0")&amp;" credit notes. "&amp;"Versus "&amp;TEXT(A13,"mmm yyyy")&amp;", invoices "&amp;IF(D14&gt;=0,"rose ","fell ")&amp;TEXT(ABS(D14),"0.0%")&amp;" and credit notes "&amp;IF(E14&gt;=0,"rose ","fell ")&amp;TEXT(ABS(E14),"0.0%")&amp;". "&amp;"CNS count is "&amp;IF(C14&gt;$C$19*1.25,"well above",IF(C14&lt;$C$19*0.75,"well below","close to"))&amp;" the "&amp;TEXT($C$19,"#,##0")&amp;" monthly average."</f>
        <v/>
      </c>
    </row>
    <row r="33" ht="30" customHeight="1">
      <c r="A33" s="4">
        <f>TEXT(A15,"mmm yyyy")&amp;": "&amp;TEXT(B15,"#,##0")&amp;" invoices and "&amp;TEXT(C15,"#,##0")&amp;" credit notes. "&amp;"Versus "&amp;TEXT(A14,"mmm yyyy")&amp;", invoices "&amp;IF(D15&gt;=0,"rose ","fell ")&amp;TEXT(ABS(D15),"0.0%")&amp;" and credit notes "&amp;IF(E15&gt;=0,"rose ","fell ")&amp;TEXT(ABS(E15),"0.0%")&amp;". "&amp;"CNS count is "&amp;IF(C15&gt;$C$19*1.25,"well above",IF(C15&lt;$C$19*0.75,"well below","close to"))&amp;" the "&amp;TEXT($C$19,"#,##0")&amp;" monthly average."</f>
        <v/>
      </c>
    </row>
    <row r="34" ht="30" customHeight="1">
      <c r="A34" s="4">
        <f>TEXT(A16,"mmm yyyy")&amp;": "&amp;TEXT(B16,"#,##0")&amp;" invoices and "&amp;TEXT(C16,"#,##0")&amp;" credit notes. "&amp;"Versus "&amp;TEXT(A15,"mmm yyyy")&amp;", invoices "&amp;IF(D16&gt;=0,"rose ","fell ")&amp;TEXT(ABS(D16),"0.0%")&amp;" and credit notes "&amp;IF(E16&gt;=0,"rose ","fell ")&amp;TEXT(ABS(E16),"0.0%")&amp;". "&amp;"CNS count is "&amp;IF(C16&gt;$C$19*1.25,"well above",IF(C16&lt;$C$19*0.75,"well below","close to"))&amp;" the "&amp;TEXT($C$19,"#,##0")&amp;" monthly average."</f>
        <v/>
      </c>
    </row>
    <row r="35" ht="30" customHeight="1">
      <c r="A35" s="4">
        <f>TEXT(A17,"mmm yyyy")&amp;": "&amp;TEXT(B17,"#,##0")&amp;" invoices and "&amp;TEXT(C17,"#,##0")&amp;" credit notes. "&amp;"Versus "&amp;TEXT(A16,"mmm yyyy")&amp;", invoices "&amp;IF(D17&gt;=0,"rose ","fell ")&amp;TEXT(ABS(D17),"0.0%")&amp;" and credit notes "&amp;IF(E17&gt;=0,"rose ","fell ")&amp;TEXT(ABS(E17),"0.0%")&amp;". "&amp;"CNS count is "&amp;IF(C17&gt;$C$19*1.25,"well above",IF(C17&lt;$C$19*0.75,"well below","close to"))&amp;" the "&amp;TEXT($C$19,"#,##0")&amp;" monthly average."</f>
        <v/>
      </c>
    </row>
    <row r="36" ht="30" customHeight="1">
      <c r="A36" s="4">
        <f>"Total: "&amp;TEXT(B18,"#,##0")&amp;" invoices (avg "&amp;TEXT(B19,"#,##0")&amp;" per month) and "&amp;TEXT(C18,"#,##0")&amp;" credit notes (avg "&amp;TEXT(C19,"#,##0")&amp;" per month) from "&amp;TEXT(A5,"mmm yyyy")&amp;" to "&amp;TEXT(A17,"mmm yyyy")&amp;"."</f>
        <v/>
      </c>
    </row>
  </sheetData>
  <mergeCells count="14">
    <mergeCell ref="A31:Q31"/>
    <mergeCell ref="A27:Q27"/>
    <mergeCell ref="A30:Q30"/>
    <mergeCell ref="A34:Q34"/>
    <mergeCell ref="A29:Q29"/>
    <mergeCell ref="A35:Q35"/>
    <mergeCell ref="A26:Q26"/>
    <mergeCell ref="A24:Q24"/>
    <mergeCell ref="A25:Q25"/>
    <mergeCell ref="A28:Q28"/>
    <mergeCell ref="A33:Q33"/>
    <mergeCell ref="A23:Q23"/>
    <mergeCell ref="A32:Q32"/>
    <mergeCell ref="A36:Q3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Helper calculations (do not edit – feeds Reports 2 and 3)</t>
        </is>
      </c>
    </row>
    <row r="4">
      <c r="A4" s="6" t="inlineStr">
        <is>
          <t>Month key</t>
        </is>
      </c>
      <c r="B4" s="6">
        <f>'Report 2'!B4</f>
        <v/>
      </c>
      <c r="C4" s="6">
        <f>'Report 2'!C4</f>
        <v/>
      </c>
      <c r="D4" s="6">
        <f>'Report 2'!D4</f>
        <v/>
      </c>
      <c r="E4" s="6">
        <f>'Report 2'!E4</f>
        <v/>
      </c>
      <c r="F4" s="6">
        <f>'Report 2'!F4</f>
        <v/>
      </c>
      <c r="G4" s="6">
        <f>'Report 2'!G4</f>
        <v/>
      </c>
      <c r="H4" s="6">
        <f>'Report 2'!H4</f>
        <v/>
      </c>
      <c r="I4" s="6">
        <f>'Report 2'!I4</f>
        <v/>
      </c>
      <c r="J4" s="6">
        <f>'Report 2'!J4</f>
        <v/>
      </c>
      <c r="K4" s="6">
        <f>'Report 2'!K4</f>
        <v/>
      </c>
      <c r="L4" s="6">
        <f>'Report 2'!L4</f>
        <v/>
      </c>
      <c r="M4" s="6">
        <f>'Report 2'!M4</f>
        <v/>
      </c>
      <c r="N4" s="6">
        <f>'Report 2'!N4</f>
        <v/>
      </c>
      <c r="O4" s="6">
        <f>'Report 2'!O4</f>
        <v/>
      </c>
      <c r="P4" s="6">
        <f>'Report 2'!P4</f>
        <v/>
      </c>
      <c r="Q4" s="6">
        <f>'Report 2'!Q4</f>
        <v/>
      </c>
      <c r="R4" s="6">
        <f>'Report 2'!R4</f>
        <v/>
      </c>
      <c r="S4" s="6">
        <f>'Report 2'!S4</f>
        <v/>
      </c>
      <c r="T4" s="6">
        <f>'Report 2'!T4</f>
        <v/>
      </c>
      <c r="W4" s="6" t="inlineStr">
        <is>
          <t>Top 1</t>
        </is>
      </c>
      <c r="X4" s="6" t="inlineStr">
        <is>
          <t>Share 1</t>
        </is>
      </c>
      <c r="Y4" s="6" t="inlineStr">
        <is>
          <t>Top 2</t>
        </is>
      </c>
      <c r="Z4" s="6" t="inlineStr">
        <is>
          <t>Share 2</t>
        </is>
      </c>
      <c r="AA4" s="6" t="inlineStr">
        <is>
          <t>Top 3</t>
        </is>
      </c>
      <c r="AB4" s="6" t="inlineStr">
        <is>
          <t>Share 3</t>
        </is>
      </c>
      <c r="AC4" s="6" t="inlineStr">
        <is>
          <t>Other types &gt;=1%</t>
        </is>
      </c>
      <c r="AD4" s="6" t="inlineStr">
        <is>
          <t>Types &lt;1%</t>
        </is>
      </c>
      <c r="AE4" s="6" t="inlineStr">
        <is>
          <t>Top 3 total</t>
        </is>
      </c>
    </row>
    <row r="5">
      <c r="A5">
        <f>'Report 2'!A5</f>
        <v/>
      </c>
      <c r="B5">
        <f>'Report 2'!B5+(21-COLUMN())/1000000000</f>
        <v/>
      </c>
      <c r="C5">
        <f>'Report 2'!C5+(21-COLUMN())/1000000000</f>
        <v/>
      </c>
      <c r="D5">
        <f>'Report 2'!D5+(21-COLUMN())/1000000000</f>
        <v/>
      </c>
      <c r="E5">
        <f>'Report 2'!E5+(21-COLUMN())/1000000000</f>
        <v/>
      </c>
      <c r="F5">
        <f>'Report 2'!F5+(21-COLUMN())/1000000000</f>
        <v/>
      </c>
      <c r="G5">
        <f>'Report 2'!G5+(21-COLUMN())/1000000000</f>
        <v/>
      </c>
      <c r="H5">
        <f>'Report 2'!H5+(21-COLUMN())/1000000000</f>
        <v/>
      </c>
      <c r="I5">
        <f>'Report 2'!I5+(21-COLUMN())/1000000000</f>
        <v/>
      </c>
      <c r="J5">
        <f>'Report 2'!J5+(21-COLUMN())/1000000000</f>
        <v/>
      </c>
      <c r="K5">
        <f>'Report 2'!K5+(21-COLUMN())/1000000000</f>
        <v/>
      </c>
      <c r="L5">
        <f>'Report 2'!L5+(21-COLUMN())/1000000000</f>
        <v/>
      </c>
      <c r="M5">
        <f>'Report 2'!M5+(21-COLUMN())/1000000000</f>
        <v/>
      </c>
      <c r="N5">
        <f>'Report 2'!N5+(21-COLUMN())/1000000000</f>
        <v/>
      </c>
      <c r="O5">
        <f>'Report 2'!O5+(21-COLUMN())/1000000000</f>
        <v/>
      </c>
      <c r="P5">
        <f>'Report 2'!P5+(21-COLUMN())/1000000000</f>
        <v/>
      </c>
      <c r="Q5">
        <f>'Report 2'!Q5+(21-COLUMN())/1000000000</f>
        <v/>
      </c>
      <c r="R5">
        <f>'Report 2'!R5+(21-COLUMN())/1000000000</f>
        <v/>
      </c>
      <c r="S5">
        <f>'Report 2'!S5+(21-COLUMN())/1000000000</f>
        <v/>
      </c>
      <c r="T5">
        <f>'Report 2'!T5+(21-COLUMN())/1000000000</f>
        <v/>
      </c>
      <c r="W5">
        <f>INDEX('Report 2'!$B$4:$T$4,MATCH(LARGE(Calc!$B$5:$T$5,1),Calc!$B$5:$T$5,0))</f>
        <v/>
      </c>
      <c r="X5">
        <f>LARGE('Report 2'!$B5:$T5,1)</f>
        <v/>
      </c>
      <c r="Y5">
        <f>INDEX('Report 2'!$B$4:$T$4,MATCH(LARGE(Calc!$B$5:$T$5,2),Calc!$B$5:$T$5,0))</f>
        <v/>
      </c>
      <c r="Z5">
        <f>LARGE('Report 2'!$B5:$T5,2)</f>
        <v/>
      </c>
      <c r="AA5">
        <f>INDEX('Report 2'!$B$4:$T$4,MATCH(LARGE(Calc!$B$5:$T$5,3),Calc!$B$5:$T$5,0))</f>
        <v/>
      </c>
      <c r="AB5">
        <f>LARGE('Report 2'!$B5:$T5,3)</f>
        <v/>
      </c>
      <c r="AC5">
        <f>COUNTIF('Report 2'!$B5:$T5,"&gt;=0.01")-COUNTIF(X5,"&gt;=0.01")-COUNTIF(Z5,"&gt;=0.01")-COUNTIF(AB5,"&gt;=0.01")</f>
        <v/>
      </c>
      <c r="AD5">
        <f>COUNTIFS('Report 2'!$B5:$T5,"&gt;0",'Report 2'!$B5:$T5,"&lt;0.01")</f>
        <v/>
      </c>
      <c r="AE5">
        <f>X5+Z5+AB5</f>
        <v/>
      </c>
    </row>
    <row r="6">
      <c r="A6">
        <f>'Report 2'!A6</f>
        <v/>
      </c>
      <c r="B6">
        <f>'Report 2'!B6+(21-COLUMN())/1000000000</f>
        <v/>
      </c>
      <c r="C6">
        <f>'Report 2'!C6+(21-COLUMN())/1000000000</f>
        <v/>
      </c>
      <c r="D6">
        <f>'Report 2'!D6+(21-COLUMN())/1000000000</f>
        <v/>
      </c>
      <c r="E6">
        <f>'Report 2'!E6+(21-COLUMN())/1000000000</f>
        <v/>
      </c>
      <c r="F6">
        <f>'Report 2'!F6+(21-COLUMN())/1000000000</f>
        <v/>
      </c>
      <c r="G6">
        <f>'Report 2'!G6+(21-COLUMN())/1000000000</f>
        <v/>
      </c>
      <c r="H6">
        <f>'Report 2'!H6+(21-COLUMN())/1000000000</f>
        <v/>
      </c>
      <c r="I6">
        <f>'Report 2'!I6+(21-COLUMN())/1000000000</f>
        <v/>
      </c>
      <c r="J6">
        <f>'Report 2'!J6+(21-COLUMN())/1000000000</f>
        <v/>
      </c>
      <c r="K6">
        <f>'Report 2'!K6+(21-COLUMN())/1000000000</f>
        <v/>
      </c>
      <c r="L6">
        <f>'Report 2'!L6+(21-COLUMN())/1000000000</f>
        <v/>
      </c>
      <c r="M6">
        <f>'Report 2'!M6+(21-COLUMN())/1000000000</f>
        <v/>
      </c>
      <c r="N6">
        <f>'Report 2'!N6+(21-COLUMN())/1000000000</f>
        <v/>
      </c>
      <c r="O6">
        <f>'Report 2'!O6+(21-COLUMN())/1000000000</f>
        <v/>
      </c>
      <c r="P6">
        <f>'Report 2'!P6+(21-COLUMN())/1000000000</f>
        <v/>
      </c>
      <c r="Q6">
        <f>'Report 2'!Q6+(21-COLUMN())/1000000000</f>
        <v/>
      </c>
      <c r="R6">
        <f>'Report 2'!R6+(21-COLUMN())/1000000000</f>
        <v/>
      </c>
      <c r="S6">
        <f>'Report 2'!S6+(21-COLUMN())/1000000000</f>
        <v/>
      </c>
      <c r="T6">
        <f>'Report 2'!T6+(21-COLUMN())/1000000000</f>
        <v/>
      </c>
      <c r="W6">
        <f>INDEX('Report 2'!$B$4:$T$4,MATCH(LARGE(Calc!$B$6:$T$6,1),Calc!$B$6:$T$6,0))</f>
        <v/>
      </c>
      <c r="X6">
        <f>LARGE('Report 2'!$B6:$T6,1)</f>
        <v/>
      </c>
      <c r="Y6">
        <f>INDEX('Report 2'!$B$4:$T$4,MATCH(LARGE(Calc!$B$6:$T$6,2),Calc!$B$6:$T$6,0))</f>
        <v/>
      </c>
      <c r="Z6">
        <f>LARGE('Report 2'!$B6:$T6,2)</f>
        <v/>
      </c>
      <c r="AA6">
        <f>INDEX('Report 2'!$B$4:$T$4,MATCH(LARGE(Calc!$B$6:$T$6,3),Calc!$B$6:$T$6,0))</f>
        <v/>
      </c>
      <c r="AB6">
        <f>LARGE('Report 2'!$B6:$T6,3)</f>
        <v/>
      </c>
      <c r="AC6">
        <f>COUNTIF('Report 2'!$B6:$T6,"&gt;=0.01")-COUNTIF(X6,"&gt;=0.01")-COUNTIF(Z6,"&gt;=0.01")-COUNTIF(AB6,"&gt;=0.01")</f>
        <v/>
      </c>
      <c r="AD6">
        <f>COUNTIFS('Report 2'!$B6:$T6,"&gt;0",'Report 2'!$B6:$T6,"&lt;0.01")</f>
        <v/>
      </c>
      <c r="AE6">
        <f>X6+Z6+AB6</f>
        <v/>
      </c>
    </row>
    <row r="7">
      <c r="A7">
        <f>'Report 2'!A7</f>
        <v/>
      </c>
      <c r="B7">
        <f>'Report 2'!B7+(21-COLUMN())/1000000000</f>
        <v/>
      </c>
      <c r="C7">
        <f>'Report 2'!C7+(21-COLUMN())/1000000000</f>
        <v/>
      </c>
      <c r="D7">
        <f>'Report 2'!D7+(21-COLUMN())/1000000000</f>
        <v/>
      </c>
      <c r="E7">
        <f>'Report 2'!E7+(21-COLUMN())/1000000000</f>
        <v/>
      </c>
      <c r="F7">
        <f>'Report 2'!F7+(21-COLUMN())/1000000000</f>
        <v/>
      </c>
      <c r="G7">
        <f>'Report 2'!G7+(21-COLUMN())/1000000000</f>
        <v/>
      </c>
      <c r="H7">
        <f>'Report 2'!H7+(21-COLUMN())/1000000000</f>
        <v/>
      </c>
      <c r="I7">
        <f>'Report 2'!I7+(21-COLUMN())/1000000000</f>
        <v/>
      </c>
      <c r="J7">
        <f>'Report 2'!J7+(21-COLUMN())/1000000000</f>
        <v/>
      </c>
      <c r="K7">
        <f>'Report 2'!K7+(21-COLUMN())/1000000000</f>
        <v/>
      </c>
      <c r="L7">
        <f>'Report 2'!L7+(21-COLUMN())/1000000000</f>
        <v/>
      </c>
      <c r="M7">
        <f>'Report 2'!M7+(21-COLUMN())/1000000000</f>
        <v/>
      </c>
      <c r="N7">
        <f>'Report 2'!N7+(21-COLUMN())/1000000000</f>
        <v/>
      </c>
      <c r="O7">
        <f>'Report 2'!O7+(21-COLUMN())/1000000000</f>
        <v/>
      </c>
      <c r="P7">
        <f>'Report 2'!P7+(21-COLUMN())/1000000000</f>
        <v/>
      </c>
      <c r="Q7">
        <f>'Report 2'!Q7+(21-COLUMN())/1000000000</f>
        <v/>
      </c>
      <c r="R7">
        <f>'Report 2'!R7+(21-COLUMN())/1000000000</f>
        <v/>
      </c>
      <c r="S7">
        <f>'Report 2'!S7+(21-COLUMN())/1000000000</f>
        <v/>
      </c>
      <c r="T7">
        <f>'Report 2'!T7+(21-COLUMN())/1000000000</f>
        <v/>
      </c>
      <c r="W7">
        <f>INDEX('Report 2'!$B$4:$T$4,MATCH(LARGE(Calc!$B$7:$T$7,1),Calc!$B$7:$T$7,0))</f>
        <v/>
      </c>
      <c r="X7">
        <f>LARGE('Report 2'!$B7:$T7,1)</f>
        <v/>
      </c>
      <c r="Y7">
        <f>INDEX('Report 2'!$B$4:$T$4,MATCH(LARGE(Calc!$B$7:$T$7,2),Calc!$B$7:$T$7,0))</f>
        <v/>
      </c>
      <c r="Z7">
        <f>LARGE('Report 2'!$B7:$T7,2)</f>
        <v/>
      </c>
      <c r="AA7">
        <f>INDEX('Report 2'!$B$4:$T$4,MATCH(LARGE(Calc!$B$7:$T$7,3),Calc!$B$7:$T$7,0))</f>
        <v/>
      </c>
      <c r="AB7">
        <f>LARGE('Report 2'!$B7:$T7,3)</f>
        <v/>
      </c>
      <c r="AC7">
        <f>COUNTIF('Report 2'!$B7:$T7,"&gt;=0.01")-COUNTIF(X7,"&gt;=0.01")-COUNTIF(Z7,"&gt;=0.01")-COUNTIF(AB7,"&gt;=0.01")</f>
        <v/>
      </c>
      <c r="AD7">
        <f>COUNTIFS('Report 2'!$B7:$T7,"&gt;0",'Report 2'!$B7:$T7,"&lt;0.01")</f>
        <v/>
      </c>
      <c r="AE7">
        <f>X7+Z7+AB7</f>
        <v/>
      </c>
    </row>
    <row r="8">
      <c r="A8">
        <f>'Report 2'!A8</f>
        <v/>
      </c>
      <c r="B8">
        <f>'Report 2'!B8+(21-COLUMN())/1000000000</f>
        <v/>
      </c>
      <c r="C8">
        <f>'Report 2'!C8+(21-COLUMN())/1000000000</f>
        <v/>
      </c>
      <c r="D8">
        <f>'Report 2'!D8+(21-COLUMN())/1000000000</f>
        <v/>
      </c>
      <c r="E8">
        <f>'Report 2'!E8+(21-COLUMN())/1000000000</f>
        <v/>
      </c>
      <c r="F8">
        <f>'Report 2'!F8+(21-COLUMN())/1000000000</f>
        <v/>
      </c>
      <c r="G8">
        <f>'Report 2'!G8+(21-COLUMN())/1000000000</f>
        <v/>
      </c>
      <c r="H8">
        <f>'Report 2'!H8+(21-COLUMN())/1000000000</f>
        <v/>
      </c>
      <c r="I8">
        <f>'Report 2'!I8+(21-COLUMN())/1000000000</f>
        <v/>
      </c>
      <c r="J8">
        <f>'Report 2'!J8+(21-COLUMN())/1000000000</f>
        <v/>
      </c>
      <c r="K8">
        <f>'Report 2'!K8+(21-COLUMN())/1000000000</f>
        <v/>
      </c>
      <c r="L8">
        <f>'Report 2'!L8+(21-COLUMN())/1000000000</f>
        <v/>
      </c>
      <c r="M8">
        <f>'Report 2'!M8+(21-COLUMN())/1000000000</f>
        <v/>
      </c>
      <c r="N8">
        <f>'Report 2'!N8+(21-COLUMN())/1000000000</f>
        <v/>
      </c>
      <c r="O8">
        <f>'Report 2'!O8+(21-COLUMN())/1000000000</f>
        <v/>
      </c>
      <c r="P8">
        <f>'Report 2'!P8+(21-COLUMN())/1000000000</f>
        <v/>
      </c>
      <c r="Q8">
        <f>'Report 2'!Q8+(21-COLUMN())/1000000000</f>
        <v/>
      </c>
      <c r="R8">
        <f>'Report 2'!R8+(21-COLUMN())/1000000000</f>
        <v/>
      </c>
      <c r="S8">
        <f>'Report 2'!S8+(21-COLUMN())/1000000000</f>
        <v/>
      </c>
      <c r="T8">
        <f>'Report 2'!T8+(21-COLUMN())/1000000000</f>
        <v/>
      </c>
      <c r="W8">
        <f>INDEX('Report 2'!$B$4:$T$4,MATCH(LARGE(Calc!$B$8:$T$8,1),Calc!$B$8:$T$8,0))</f>
        <v/>
      </c>
      <c r="X8">
        <f>LARGE('Report 2'!$B8:$T8,1)</f>
        <v/>
      </c>
      <c r="Y8">
        <f>INDEX('Report 2'!$B$4:$T$4,MATCH(LARGE(Calc!$B$8:$T$8,2),Calc!$B$8:$T$8,0))</f>
        <v/>
      </c>
      <c r="Z8">
        <f>LARGE('Report 2'!$B8:$T8,2)</f>
        <v/>
      </c>
      <c r="AA8">
        <f>INDEX('Report 2'!$B$4:$T$4,MATCH(LARGE(Calc!$B$8:$T$8,3),Calc!$B$8:$T$8,0))</f>
        <v/>
      </c>
      <c r="AB8">
        <f>LARGE('Report 2'!$B8:$T8,3)</f>
        <v/>
      </c>
      <c r="AC8">
        <f>COUNTIF('Report 2'!$B8:$T8,"&gt;=0.01")-COUNTIF(X8,"&gt;=0.01")-COUNTIF(Z8,"&gt;=0.01")-COUNTIF(AB8,"&gt;=0.01")</f>
        <v/>
      </c>
      <c r="AD8">
        <f>COUNTIFS('Report 2'!$B8:$T8,"&gt;0",'Report 2'!$B8:$T8,"&lt;0.01")</f>
        <v/>
      </c>
      <c r="AE8">
        <f>X8+Z8+AB8</f>
        <v/>
      </c>
    </row>
    <row r="9">
      <c r="A9">
        <f>'Report 2'!A9</f>
        <v/>
      </c>
      <c r="B9">
        <f>'Report 2'!B9+(21-COLUMN())/1000000000</f>
        <v/>
      </c>
      <c r="C9">
        <f>'Report 2'!C9+(21-COLUMN())/1000000000</f>
        <v/>
      </c>
      <c r="D9">
        <f>'Report 2'!D9+(21-COLUMN())/1000000000</f>
        <v/>
      </c>
      <c r="E9">
        <f>'Report 2'!E9+(21-COLUMN())/1000000000</f>
        <v/>
      </c>
      <c r="F9">
        <f>'Report 2'!F9+(21-COLUMN())/1000000000</f>
        <v/>
      </c>
      <c r="G9">
        <f>'Report 2'!G9+(21-COLUMN())/1000000000</f>
        <v/>
      </c>
      <c r="H9">
        <f>'Report 2'!H9+(21-COLUMN())/1000000000</f>
        <v/>
      </c>
      <c r="I9">
        <f>'Report 2'!I9+(21-COLUMN())/1000000000</f>
        <v/>
      </c>
      <c r="J9">
        <f>'Report 2'!J9+(21-COLUMN())/1000000000</f>
        <v/>
      </c>
      <c r="K9">
        <f>'Report 2'!K9+(21-COLUMN())/1000000000</f>
        <v/>
      </c>
      <c r="L9">
        <f>'Report 2'!L9+(21-COLUMN())/1000000000</f>
        <v/>
      </c>
      <c r="M9">
        <f>'Report 2'!M9+(21-COLUMN())/1000000000</f>
        <v/>
      </c>
      <c r="N9">
        <f>'Report 2'!N9+(21-COLUMN())/1000000000</f>
        <v/>
      </c>
      <c r="O9">
        <f>'Report 2'!O9+(21-COLUMN())/1000000000</f>
        <v/>
      </c>
      <c r="P9">
        <f>'Report 2'!P9+(21-COLUMN())/1000000000</f>
        <v/>
      </c>
      <c r="Q9">
        <f>'Report 2'!Q9+(21-COLUMN())/1000000000</f>
        <v/>
      </c>
      <c r="R9">
        <f>'Report 2'!R9+(21-COLUMN())/1000000000</f>
        <v/>
      </c>
      <c r="S9">
        <f>'Report 2'!S9+(21-COLUMN())/1000000000</f>
        <v/>
      </c>
      <c r="T9">
        <f>'Report 2'!T9+(21-COLUMN())/1000000000</f>
        <v/>
      </c>
      <c r="W9">
        <f>INDEX('Report 2'!$B$4:$T$4,MATCH(LARGE(Calc!$B$9:$T$9,1),Calc!$B$9:$T$9,0))</f>
        <v/>
      </c>
      <c r="X9">
        <f>LARGE('Report 2'!$B9:$T9,1)</f>
        <v/>
      </c>
      <c r="Y9">
        <f>INDEX('Report 2'!$B$4:$T$4,MATCH(LARGE(Calc!$B$9:$T$9,2),Calc!$B$9:$T$9,0))</f>
        <v/>
      </c>
      <c r="Z9">
        <f>LARGE('Report 2'!$B9:$T9,2)</f>
        <v/>
      </c>
      <c r="AA9">
        <f>INDEX('Report 2'!$B$4:$T$4,MATCH(LARGE(Calc!$B$9:$T$9,3),Calc!$B$9:$T$9,0))</f>
        <v/>
      </c>
      <c r="AB9">
        <f>LARGE('Report 2'!$B9:$T9,3)</f>
        <v/>
      </c>
      <c r="AC9">
        <f>COUNTIF('Report 2'!$B9:$T9,"&gt;=0.01")-COUNTIF(X9,"&gt;=0.01")-COUNTIF(Z9,"&gt;=0.01")-COUNTIF(AB9,"&gt;=0.01")</f>
        <v/>
      </c>
      <c r="AD9">
        <f>COUNTIFS('Report 2'!$B9:$T9,"&gt;0",'Report 2'!$B9:$T9,"&lt;0.01")</f>
        <v/>
      </c>
      <c r="AE9">
        <f>X9+Z9+AB9</f>
        <v/>
      </c>
    </row>
    <row r="10">
      <c r="A10">
        <f>'Report 2'!A10</f>
        <v/>
      </c>
      <c r="B10">
        <f>'Report 2'!B10+(21-COLUMN())/1000000000</f>
        <v/>
      </c>
      <c r="C10">
        <f>'Report 2'!C10+(21-COLUMN())/1000000000</f>
        <v/>
      </c>
      <c r="D10">
        <f>'Report 2'!D10+(21-COLUMN())/1000000000</f>
        <v/>
      </c>
      <c r="E10">
        <f>'Report 2'!E10+(21-COLUMN())/1000000000</f>
        <v/>
      </c>
      <c r="F10">
        <f>'Report 2'!F10+(21-COLUMN())/1000000000</f>
        <v/>
      </c>
      <c r="G10">
        <f>'Report 2'!G10+(21-COLUMN())/1000000000</f>
        <v/>
      </c>
      <c r="H10">
        <f>'Report 2'!H10+(21-COLUMN())/1000000000</f>
        <v/>
      </c>
      <c r="I10">
        <f>'Report 2'!I10+(21-COLUMN())/1000000000</f>
        <v/>
      </c>
      <c r="J10">
        <f>'Report 2'!J10+(21-COLUMN())/1000000000</f>
        <v/>
      </c>
      <c r="K10">
        <f>'Report 2'!K10+(21-COLUMN())/1000000000</f>
        <v/>
      </c>
      <c r="L10">
        <f>'Report 2'!L10+(21-COLUMN())/1000000000</f>
        <v/>
      </c>
      <c r="M10">
        <f>'Report 2'!M10+(21-COLUMN())/1000000000</f>
        <v/>
      </c>
      <c r="N10">
        <f>'Report 2'!N10+(21-COLUMN())/1000000000</f>
        <v/>
      </c>
      <c r="O10">
        <f>'Report 2'!O10+(21-COLUMN())/1000000000</f>
        <v/>
      </c>
      <c r="P10">
        <f>'Report 2'!P10+(21-COLUMN())/1000000000</f>
        <v/>
      </c>
      <c r="Q10">
        <f>'Report 2'!Q10+(21-COLUMN())/1000000000</f>
        <v/>
      </c>
      <c r="R10">
        <f>'Report 2'!R10+(21-COLUMN())/1000000000</f>
        <v/>
      </c>
      <c r="S10">
        <f>'Report 2'!S10+(21-COLUMN())/1000000000</f>
        <v/>
      </c>
      <c r="T10">
        <f>'Report 2'!T10+(21-COLUMN())/1000000000</f>
        <v/>
      </c>
      <c r="W10">
        <f>INDEX('Report 2'!$B$4:$T$4,MATCH(LARGE(Calc!$B$10:$T$10,1),Calc!$B$10:$T$10,0))</f>
        <v/>
      </c>
      <c r="X10">
        <f>LARGE('Report 2'!$B10:$T10,1)</f>
        <v/>
      </c>
      <c r="Y10">
        <f>INDEX('Report 2'!$B$4:$T$4,MATCH(LARGE(Calc!$B$10:$T$10,2),Calc!$B$10:$T$10,0))</f>
        <v/>
      </c>
      <c r="Z10">
        <f>LARGE('Report 2'!$B10:$T10,2)</f>
        <v/>
      </c>
      <c r="AA10">
        <f>INDEX('Report 2'!$B$4:$T$4,MATCH(LARGE(Calc!$B$10:$T$10,3),Calc!$B$10:$T$10,0))</f>
        <v/>
      </c>
      <c r="AB10">
        <f>LARGE('Report 2'!$B10:$T10,3)</f>
        <v/>
      </c>
      <c r="AC10">
        <f>COUNTIF('Report 2'!$B10:$T10,"&gt;=0.01")-COUNTIF(X10,"&gt;=0.01")-COUNTIF(Z10,"&gt;=0.01")-COUNTIF(AB10,"&gt;=0.01")</f>
        <v/>
      </c>
      <c r="AD10">
        <f>COUNTIFS('Report 2'!$B10:$T10,"&gt;0",'Report 2'!$B10:$T10,"&lt;0.01")</f>
        <v/>
      </c>
      <c r="AE10">
        <f>X10+Z10+AB10</f>
        <v/>
      </c>
    </row>
    <row r="11">
      <c r="A11">
        <f>'Report 2'!A11</f>
        <v/>
      </c>
      <c r="B11">
        <f>'Report 2'!B11+(21-COLUMN())/1000000000</f>
        <v/>
      </c>
      <c r="C11">
        <f>'Report 2'!C11+(21-COLUMN())/1000000000</f>
        <v/>
      </c>
      <c r="D11">
        <f>'Report 2'!D11+(21-COLUMN())/1000000000</f>
        <v/>
      </c>
      <c r="E11">
        <f>'Report 2'!E11+(21-COLUMN())/1000000000</f>
        <v/>
      </c>
      <c r="F11">
        <f>'Report 2'!F11+(21-COLUMN())/1000000000</f>
        <v/>
      </c>
      <c r="G11">
        <f>'Report 2'!G11+(21-COLUMN())/1000000000</f>
        <v/>
      </c>
      <c r="H11">
        <f>'Report 2'!H11+(21-COLUMN())/1000000000</f>
        <v/>
      </c>
      <c r="I11">
        <f>'Report 2'!I11+(21-COLUMN())/1000000000</f>
        <v/>
      </c>
      <c r="J11">
        <f>'Report 2'!J11+(21-COLUMN())/1000000000</f>
        <v/>
      </c>
      <c r="K11">
        <f>'Report 2'!K11+(21-COLUMN())/1000000000</f>
        <v/>
      </c>
      <c r="L11">
        <f>'Report 2'!L11+(21-COLUMN())/1000000000</f>
        <v/>
      </c>
      <c r="M11">
        <f>'Report 2'!M11+(21-COLUMN())/1000000000</f>
        <v/>
      </c>
      <c r="N11">
        <f>'Report 2'!N11+(21-COLUMN())/1000000000</f>
        <v/>
      </c>
      <c r="O11">
        <f>'Report 2'!O11+(21-COLUMN())/1000000000</f>
        <v/>
      </c>
      <c r="P11">
        <f>'Report 2'!P11+(21-COLUMN())/1000000000</f>
        <v/>
      </c>
      <c r="Q11">
        <f>'Report 2'!Q11+(21-COLUMN())/1000000000</f>
        <v/>
      </c>
      <c r="R11">
        <f>'Report 2'!R11+(21-COLUMN())/1000000000</f>
        <v/>
      </c>
      <c r="S11">
        <f>'Report 2'!S11+(21-COLUMN())/1000000000</f>
        <v/>
      </c>
      <c r="T11">
        <f>'Report 2'!T11+(21-COLUMN())/1000000000</f>
        <v/>
      </c>
      <c r="W11">
        <f>INDEX('Report 2'!$B$4:$T$4,MATCH(LARGE(Calc!$B$11:$T$11,1),Calc!$B$11:$T$11,0))</f>
        <v/>
      </c>
      <c r="X11">
        <f>LARGE('Report 2'!$B11:$T11,1)</f>
        <v/>
      </c>
      <c r="Y11">
        <f>INDEX('Report 2'!$B$4:$T$4,MATCH(LARGE(Calc!$B$11:$T$11,2),Calc!$B$11:$T$11,0))</f>
        <v/>
      </c>
      <c r="Z11">
        <f>LARGE('Report 2'!$B11:$T11,2)</f>
        <v/>
      </c>
      <c r="AA11">
        <f>INDEX('Report 2'!$B$4:$T$4,MATCH(LARGE(Calc!$B$11:$T$11,3),Calc!$B$11:$T$11,0))</f>
        <v/>
      </c>
      <c r="AB11">
        <f>LARGE('Report 2'!$B11:$T11,3)</f>
        <v/>
      </c>
      <c r="AC11">
        <f>COUNTIF('Report 2'!$B11:$T11,"&gt;=0.01")-COUNTIF(X11,"&gt;=0.01")-COUNTIF(Z11,"&gt;=0.01")-COUNTIF(AB11,"&gt;=0.01")</f>
        <v/>
      </c>
      <c r="AD11">
        <f>COUNTIFS('Report 2'!$B11:$T11,"&gt;0",'Report 2'!$B11:$T11,"&lt;0.01")</f>
        <v/>
      </c>
      <c r="AE11">
        <f>X11+Z11+AB11</f>
        <v/>
      </c>
    </row>
    <row r="12">
      <c r="A12">
        <f>'Report 2'!A12</f>
        <v/>
      </c>
      <c r="B12">
        <f>'Report 2'!B12+(21-COLUMN())/1000000000</f>
        <v/>
      </c>
      <c r="C12">
        <f>'Report 2'!C12+(21-COLUMN())/1000000000</f>
        <v/>
      </c>
      <c r="D12">
        <f>'Report 2'!D12+(21-COLUMN())/1000000000</f>
        <v/>
      </c>
      <c r="E12">
        <f>'Report 2'!E12+(21-COLUMN())/1000000000</f>
        <v/>
      </c>
      <c r="F12">
        <f>'Report 2'!F12+(21-COLUMN())/1000000000</f>
        <v/>
      </c>
      <c r="G12">
        <f>'Report 2'!G12+(21-COLUMN())/1000000000</f>
        <v/>
      </c>
      <c r="H12">
        <f>'Report 2'!H12+(21-COLUMN())/1000000000</f>
        <v/>
      </c>
      <c r="I12">
        <f>'Report 2'!I12+(21-COLUMN())/1000000000</f>
        <v/>
      </c>
      <c r="J12">
        <f>'Report 2'!J12+(21-COLUMN())/1000000000</f>
        <v/>
      </c>
      <c r="K12">
        <f>'Report 2'!K12+(21-COLUMN())/1000000000</f>
        <v/>
      </c>
      <c r="L12">
        <f>'Report 2'!L12+(21-COLUMN())/1000000000</f>
        <v/>
      </c>
      <c r="M12">
        <f>'Report 2'!M12+(21-COLUMN())/1000000000</f>
        <v/>
      </c>
      <c r="N12">
        <f>'Report 2'!N12+(21-COLUMN())/1000000000</f>
        <v/>
      </c>
      <c r="O12">
        <f>'Report 2'!O12+(21-COLUMN())/1000000000</f>
        <v/>
      </c>
      <c r="P12">
        <f>'Report 2'!P12+(21-COLUMN())/1000000000</f>
        <v/>
      </c>
      <c r="Q12">
        <f>'Report 2'!Q12+(21-COLUMN())/1000000000</f>
        <v/>
      </c>
      <c r="R12">
        <f>'Report 2'!R12+(21-COLUMN())/1000000000</f>
        <v/>
      </c>
      <c r="S12">
        <f>'Report 2'!S12+(21-COLUMN())/1000000000</f>
        <v/>
      </c>
      <c r="T12">
        <f>'Report 2'!T12+(21-COLUMN())/1000000000</f>
        <v/>
      </c>
      <c r="W12">
        <f>INDEX('Report 2'!$B$4:$T$4,MATCH(LARGE(Calc!$B$12:$T$12,1),Calc!$B$12:$T$12,0))</f>
        <v/>
      </c>
      <c r="X12">
        <f>LARGE('Report 2'!$B12:$T12,1)</f>
        <v/>
      </c>
      <c r="Y12">
        <f>INDEX('Report 2'!$B$4:$T$4,MATCH(LARGE(Calc!$B$12:$T$12,2),Calc!$B$12:$T$12,0))</f>
        <v/>
      </c>
      <c r="Z12">
        <f>LARGE('Report 2'!$B12:$T12,2)</f>
        <v/>
      </c>
      <c r="AA12">
        <f>INDEX('Report 2'!$B$4:$T$4,MATCH(LARGE(Calc!$B$12:$T$12,3),Calc!$B$12:$T$12,0))</f>
        <v/>
      </c>
      <c r="AB12">
        <f>LARGE('Report 2'!$B12:$T12,3)</f>
        <v/>
      </c>
      <c r="AC12">
        <f>COUNTIF('Report 2'!$B12:$T12,"&gt;=0.01")-COUNTIF(X12,"&gt;=0.01")-COUNTIF(Z12,"&gt;=0.01")-COUNTIF(AB12,"&gt;=0.01")</f>
        <v/>
      </c>
      <c r="AD12">
        <f>COUNTIFS('Report 2'!$B12:$T12,"&gt;0",'Report 2'!$B12:$T12,"&lt;0.01")</f>
        <v/>
      </c>
      <c r="AE12">
        <f>X12+Z12+AB12</f>
        <v/>
      </c>
    </row>
    <row r="13">
      <c r="A13">
        <f>'Report 2'!A13</f>
        <v/>
      </c>
      <c r="B13">
        <f>'Report 2'!B13+(21-COLUMN())/1000000000</f>
        <v/>
      </c>
      <c r="C13">
        <f>'Report 2'!C13+(21-COLUMN())/1000000000</f>
        <v/>
      </c>
      <c r="D13">
        <f>'Report 2'!D13+(21-COLUMN())/1000000000</f>
        <v/>
      </c>
      <c r="E13">
        <f>'Report 2'!E13+(21-COLUMN())/1000000000</f>
        <v/>
      </c>
      <c r="F13">
        <f>'Report 2'!F13+(21-COLUMN())/1000000000</f>
        <v/>
      </c>
      <c r="G13">
        <f>'Report 2'!G13+(21-COLUMN())/1000000000</f>
        <v/>
      </c>
      <c r="H13">
        <f>'Report 2'!H13+(21-COLUMN())/1000000000</f>
        <v/>
      </c>
      <c r="I13">
        <f>'Report 2'!I13+(21-COLUMN())/1000000000</f>
        <v/>
      </c>
      <c r="J13">
        <f>'Report 2'!J13+(21-COLUMN())/1000000000</f>
        <v/>
      </c>
      <c r="K13">
        <f>'Report 2'!K13+(21-COLUMN())/1000000000</f>
        <v/>
      </c>
      <c r="L13">
        <f>'Report 2'!L13+(21-COLUMN())/1000000000</f>
        <v/>
      </c>
      <c r="M13">
        <f>'Report 2'!M13+(21-COLUMN())/1000000000</f>
        <v/>
      </c>
      <c r="N13">
        <f>'Report 2'!N13+(21-COLUMN())/1000000000</f>
        <v/>
      </c>
      <c r="O13">
        <f>'Report 2'!O13+(21-COLUMN())/1000000000</f>
        <v/>
      </c>
      <c r="P13">
        <f>'Report 2'!P13+(21-COLUMN())/1000000000</f>
        <v/>
      </c>
      <c r="Q13">
        <f>'Report 2'!Q13+(21-COLUMN())/1000000000</f>
        <v/>
      </c>
      <c r="R13">
        <f>'Report 2'!R13+(21-COLUMN())/1000000000</f>
        <v/>
      </c>
      <c r="S13">
        <f>'Report 2'!S13+(21-COLUMN())/1000000000</f>
        <v/>
      </c>
      <c r="T13">
        <f>'Report 2'!T13+(21-COLUMN())/1000000000</f>
        <v/>
      </c>
      <c r="W13">
        <f>INDEX('Report 2'!$B$4:$T$4,MATCH(LARGE(Calc!$B$13:$T$13,1),Calc!$B$13:$T$13,0))</f>
        <v/>
      </c>
      <c r="X13">
        <f>LARGE('Report 2'!$B13:$T13,1)</f>
        <v/>
      </c>
      <c r="Y13">
        <f>INDEX('Report 2'!$B$4:$T$4,MATCH(LARGE(Calc!$B$13:$T$13,2),Calc!$B$13:$T$13,0))</f>
        <v/>
      </c>
      <c r="Z13">
        <f>LARGE('Report 2'!$B13:$T13,2)</f>
        <v/>
      </c>
      <c r="AA13">
        <f>INDEX('Report 2'!$B$4:$T$4,MATCH(LARGE(Calc!$B$13:$T$13,3),Calc!$B$13:$T$13,0))</f>
        <v/>
      </c>
      <c r="AB13">
        <f>LARGE('Report 2'!$B13:$T13,3)</f>
        <v/>
      </c>
      <c r="AC13">
        <f>COUNTIF('Report 2'!$B13:$T13,"&gt;=0.01")-COUNTIF(X13,"&gt;=0.01")-COUNTIF(Z13,"&gt;=0.01")-COUNTIF(AB13,"&gt;=0.01")</f>
        <v/>
      </c>
      <c r="AD13">
        <f>COUNTIFS('Report 2'!$B13:$T13,"&gt;0",'Report 2'!$B13:$T13,"&lt;0.01")</f>
        <v/>
      </c>
      <c r="AE13">
        <f>X13+Z13+AB13</f>
        <v/>
      </c>
    </row>
    <row r="14">
      <c r="A14">
        <f>'Report 2'!A14</f>
        <v/>
      </c>
      <c r="B14">
        <f>'Report 2'!B14+(21-COLUMN())/1000000000</f>
        <v/>
      </c>
      <c r="C14">
        <f>'Report 2'!C14+(21-COLUMN())/1000000000</f>
        <v/>
      </c>
      <c r="D14">
        <f>'Report 2'!D14+(21-COLUMN())/1000000000</f>
        <v/>
      </c>
      <c r="E14">
        <f>'Report 2'!E14+(21-COLUMN())/1000000000</f>
        <v/>
      </c>
      <c r="F14">
        <f>'Report 2'!F14+(21-COLUMN())/1000000000</f>
        <v/>
      </c>
      <c r="G14">
        <f>'Report 2'!G14+(21-COLUMN())/1000000000</f>
        <v/>
      </c>
      <c r="H14">
        <f>'Report 2'!H14+(21-COLUMN())/1000000000</f>
        <v/>
      </c>
      <c r="I14">
        <f>'Report 2'!I14+(21-COLUMN())/1000000000</f>
        <v/>
      </c>
      <c r="J14">
        <f>'Report 2'!J14+(21-COLUMN())/1000000000</f>
        <v/>
      </c>
      <c r="K14">
        <f>'Report 2'!K14+(21-COLUMN())/1000000000</f>
        <v/>
      </c>
      <c r="L14">
        <f>'Report 2'!L14+(21-COLUMN())/1000000000</f>
        <v/>
      </c>
      <c r="M14">
        <f>'Report 2'!M14+(21-COLUMN())/1000000000</f>
        <v/>
      </c>
      <c r="N14">
        <f>'Report 2'!N14+(21-COLUMN())/1000000000</f>
        <v/>
      </c>
      <c r="O14">
        <f>'Report 2'!O14+(21-COLUMN())/1000000000</f>
        <v/>
      </c>
      <c r="P14">
        <f>'Report 2'!P14+(21-COLUMN())/1000000000</f>
        <v/>
      </c>
      <c r="Q14">
        <f>'Report 2'!Q14+(21-COLUMN())/1000000000</f>
        <v/>
      </c>
      <c r="R14">
        <f>'Report 2'!R14+(21-COLUMN())/1000000000</f>
        <v/>
      </c>
      <c r="S14">
        <f>'Report 2'!S14+(21-COLUMN())/1000000000</f>
        <v/>
      </c>
      <c r="T14">
        <f>'Report 2'!T14+(21-COLUMN())/1000000000</f>
        <v/>
      </c>
      <c r="W14">
        <f>INDEX('Report 2'!$B$4:$T$4,MATCH(LARGE(Calc!$B$14:$T$14,1),Calc!$B$14:$T$14,0))</f>
        <v/>
      </c>
      <c r="X14">
        <f>LARGE('Report 2'!$B14:$T14,1)</f>
        <v/>
      </c>
      <c r="Y14">
        <f>INDEX('Report 2'!$B$4:$T$4,MATCH(LARGE(Calc!$B$14:$T$14,2),Calc!$B$14:$T$14,0))</f>
        <v/>
      </c>
      <c r="Z14">
        <f>LARGE('Report 2'!$B14:$T14,2)</f>
        <v/>
      </c>
      <c r="AA14">
        <f>INDEX('Report 2'!$B$4:$T$4,MATCH(LARGE(Calc!$B$14:$T$14,3),Calc!$B$14:$T$14,0))</f>
        <v/>
      </c>
      <c r="AB14">
        <f>LARGE('Report 2'!$B14:$T14,3)</f>
        <v/>
      </c>
      <c r="AC14">
        <f>COUNTIF('Report 2'!$B14:$T14,"&gt;=0.01")-COUNTIF(X14,"&gt;=0.01")-COUNTIF(Z14,"&gt;=0.01")-COUNTIF(AB14,"&gt;=0.01")</f>
        <v/>
      </c>
      <c r="AD14">
        <f>COUNTIFS('Report 2'!$B14:$T14,"&gt;0",'Report 2'!$B14:$T14,"&lt;0.01")</f>
        <v/>
      </c>
      <c r="AE14">
        <f>X14+Z14+AB14</f>
        <v/>
      </c>
    </row>
    <row r="15">
      <c r="A15">
        <f>'Report 2'!A15</f>
        <v/>
      </c>
      <c r="B15">
        <f>'Report 2'!B15+(21-COLUMN())/1000000000</f>
        <v/>
      </c>
      <c r="C15">
        <f>'Report 2'!C15+(21-COLUMN())/1000000000</f>
        <v/>
      </c>
      <c r="D15">
        <f>'Report 2'!D15+(21-COLUMN())/1000000000</f>
        <v/>
      </c>
      <c r="E15">
        <f>'Report 2'!E15+(21-COLUMN())/1000000000</f>
        <v/>
      </c>
      <c r="F15">
        <f>'Report 2'!F15+(21-COLUMN())/1000000000</f>
        <v/>
      </c>
      <c r="G15">
        <f>'Report 2'!G15+(21-COLUMN())/1000000000</f>
        <v/>
      </c>
      <c r="H15">
        <f>'Report 2'!H15+(21-COLUMN())/1000000000</f>
        <v/>
      </c>
      <c r="I15">
        <f>'Report 2'!I15+(21-COLUMN())/1000000000</f>
        <v/>
      </c>
      <c r="J15">
        <f>'Report 2'!J15+(21-COLUMN())/1000000000</f>
        <v/>
      </c>
      <c r="K15">
        <f>'Report 2'!K15+(21-COLUMN())/1000000000</f>
        <v/>
      </c>
      <c r="L15">
        <f>'Report 2'!L15+(21-COLUMN())/1000000000</f>
        <v/>
      </c>
      <c r="M15">
        <f>'Report 2'!M15+(21-COLUMN())/1000000000</f>
        <v/>
      </c>
      <c r="N15">
        <f>'Report 2'!N15+(21-COLUMN())/1000000000</f>
        <v/>
      </c>
      <c r="O15">
        <f>'Report 2'!O15+(21-COLUMN())/1000000000</f>
        <v/>
      </c>
      <c r="P15">
        <f>'Report 2'!P15+(21-COLUMN())/1000000000</f>
        <v/>
      </c>
      <c r="Q15">
        <f>'Report 2'!Q15+(21-COLUMN())/1000000000</f>
        <v/>
      </c>
      <c r="R15">
        <f>'Report 2'!R15+(21-COLUMN())/1000000000</f>
        <v/>
      </c>
      <c r="S15">
        <f>'Report 2'!S15+(21-COLUMN())/1000000000</f>
        <v/>
      </c>
      <c r="T15">
        <f>'Report 2'!T15+(21-COLUMN())/1000000000</f>
        <v/>
      </c>
      <c r="W15">
        <f>INDEX('Report 2'!$B$4:$T$4,MATCH(LARGE(Calc!$B$15:$T$15,1),Calc!$B$15:$T$15,0))</f>
        <v/>
      </c>
      <c r="X15">
        <f>LARGE('Report 2'!$B15:$T15,1)</f>
        <v/>
      </c>
      <c r="Y15">
        <f>INDEX('Report 2'!$B$4:$T$4,MATCH(LARGE(Calc!$B$15:$T$15,2),Calc!$B$15:$T$15,0))</f>
        <v/>
      </c>
      <c r="Z15">
        <f>LARGE('Report 2'!$B15:$T15,2)</f>
        <v/>
      </c>
      <c r="AA15">
        <f>INDEX('Report 2'!$B$4:$T$4,MATCH(LARGE(Calc!$B$15:$T$15,3),Calc!$B$15:$T$15,0))</f>
        <v/>
      </c>
      <c r="AB15">
        <f>LARGE('Report 2'!$B15:$T15,3)</f>
        <v/>
      </c>
      <c r="AC15">
        <f>COUNTIF('Report 2'!$B15:$T15,"&gt;=0.01")-COUNTIF(X15,"&gt;=0.01")-COUNTIF(Z15,"&gt;=0.01")-COUNTIF(AB15,"&gt;=0.01")</f>
        <v/>
      </c>
      <c r="AD15">
        <f>COUNTIFS('Report 2'!$B15:$T15,"&gt;0",'Report 2'!$B15:$T15,"&lt;0.01")</f>
        <v/>
      </c>
      <c r="AE15">
        <f>X15+Z15+AB15</f>
        <v/>
      </c>
    </row>
    <row r="16">
      <c r="A16">
        <f>'Report 2'!A16</f>
        <v/>
      </c>
      <c r="B16">
        <f>'Report 2'!B16+(21-COLUMN())/1000000000</f>
        <v/>
      </c>
      <c r="C16">
        <f>'Report 2'!C16+(21-COLUMN())/1000000000</f>
        <v/>
      </c>
      <c r="D16">
        <f>'Report 2'!D16+(21-COLUMN())/1000000000</f>
        <v/>
      </c>
      <c r="E16">
        <f>'Report 2'!E16+(21-COLUMN())/1000000000</f>
        <v/>
      </c>
      <c r="F16">
        <f>'Report 2'!F16+(21-COLUMN())/1000000000</f>
        <v/>
      </c>
      <c r="G16">
        <f>'Report 2'!G16+(21-COLUMN())/1000000000</f>
        <v/>
      </c>
      <c r="H16">
        <f>'Report 2'!H16+(21-COLUMN())/1000000000</f>
        <v/>
      </c>
      <c r="I16">
        <f>'Report 2'!I16+(21-COLUMN())/1000000000</f>
        <v/>
      </c>
      <c r="J16">
        <f>'Report 2'!J16+(21-COLUMN())/1000000000</f>
        <v/>
      </c>
      <c r="K16">
        <f>'Report 2'!K16+(21-COLUMN())/1000000000</f>
        <v/>
      </c>
      <c r="L16">
        <f>'Report 2'!L16+(21-COLUMN())/1000000000</f>
        <v/>
      </c>
      <c r="M16">
        <f>'Report 2'!M16+(21-COLUMN())/1000000000</f>
        <v/>
      </c>
      <c r="N16">
        <f>'Report 2'!N16+(21-COLUMN())/1000000000</f>
        <v/>
      </c>
      <c r="O16">
        <f>'Report 2'!O16+(21-COLUMN())/1000000000</f>
        <v/>
      </c>
      <c r="P16">
        <f>'Report 2'!P16+(21-COLUMN())/1000000000</f>
        <v/>
      </c>
      <c r="Q16">
        <f>'Report 2'!Q16+(21-COLUMN())/1000000000</f>
        <v/>
      </c>
      <c r="R16">
        <f>'Report 2'!R16+(21-COLUMN())/1000000000</f>
        <v/>
      </c>
      <c r="S16">
        <f>'Report 2'!S16+(21-COLUMN())/1000000000</f>
        <v/>
      </c>
      <c r="T16">
        <f>'Report 2'!T16+(21-COLUMN())/1000000000</f>
        <v/>
      </c>
      <c r="W16">
        <f>INDEX('Report 2'!$B$4:$T$4,MATCH(LARGE(Calc!$B$16:$T$16,1),Calc!$B$16:$T$16,0))</f>
        <v/>
      </c>
      <c r="X16">
        <f>LARGE('Report 2'!$B16:$T16,1)</f>
        <v/>
      </c>
      <c r="Y16">
        <f>INDEX('Report 2'!$B$4:$T$4,MATCH(LARGE(Calc!$B$16:$T$16,2),Calc!$B$16:$T$16,0))</f>
        <v/>
      </c>
      <c r="Z16">
        <f>LARGE('Report 2'!$B16:$T16,2)</f>
        <v/>
      </c>
      <c r="AA16">
        <f>INDEX('Report 2'!$B$4:$T$4,MATCH(LARGE(Calc!$B$16:$T$16,3),Calc!$B$16:$T$16,0))</f>
        <v/>
      </c>
      <c r="AB16">
        <f>LARGE('Report 2'!$B16:$T16,3)</f>
        <v/>
      </c>
      <c r="AC16">
        <f>COUNTIF('Report 2'!$B16:$T16,"&gt;=0.01")-COUNTIF(X16,"&gt;=0.01")-COUNTIF(Z16,"&gt;=0.01")-COUNTIF(AB16,"&gt;=0.01")</f>
        <v/>
      </c>
      <c r="AD16">
        <f>COUNTIFS('Report 2'!$B16:$T16,"&gt;0",'Report 2'!$B16:$T16,"&lt;0.01")</f>
        <v/>
      </c>
      <c r="AE16">
        <f>X16+Z16+AB16</f>
        <v/>
      </c>
    </row>
    <row r="17">
      <c r="A17">
        <f>'Report 2'!A17</f>
        <v/>
      </c>
      <c r="B17">
        <f>'Report 2'!B17+(21-COLUMN())/1000000000</f>
        <v/>
      </c>
      <c r="C17">
        <f>'Report 2'!C17+(21-COLUMN())/1000000000</f>
        <v/>
      </c>
      <c r="D17">
        <f>'Report 2'!D17+(21-COLUMN())/1000000000</f>
        <v/>
      </c>
      <c r="E17">
        <f>'Report 2'!E17+(21-COLUMN())/1000000000</f>
        <v/>
      </c>
      <c r="F17">
        <f>'Report 2'!F17+(21-COLUMN())/1000000000</f>
        <v/>
      </c>
      <c r="G17">
        <f>'Report 2'!G17+(21-COLUMN())/1000000000</f>
        <v/>
      </c>
      <c r="H17">
        <f>'Report 2'!H17+(21-COLUMN())/1000000000</f>
        <v/>
      </c>
      <c r="I17">
        <f>'Report 2'!I17+(21-COLUMN())/1000000000</f>
        <v/>
      </c>
      <c r="J17">
        <f>'Report 2'!J17+(21-COLUMN())/1000000000</f>
        <v/>
      </c>
      <c r="K17">
        <f>'Report 2'!K17+(21-COLUMN())/1000000000</f>
        <v/>
      </c>
      <c r="L17">
        <f>'Report 2'!L17+(21-COLUMN())/1000000000</f>
        <v/>
      </c>
      <c r="M17">
        <f>'Report 2'!M17+(21-COLUMN())/1000000000</f>
        <v/>
      </c>
      <c r="N17">
        <f>'Report 2'!N17+(21-COLUMN())/1000000000</f>
        <v/>
      </c>
      <c r="O17">
        <f>'Report 2'!O17+(21-COLUMN())/1000000000</f>
        <v/>
      </c>
      <c r="P17">
        <f>'Report 2'!P17+(21-COLUMN())/1000000000</f>
        <v/>
      </c>
      <c r="Q17">
        <f>'Report 2'!Q17+(21-COLUMN())/1000000000</f>
        <v/>
      </c>
      <c r="R17">
        <f>'Report 2'!R17+(21-COLUMN())/1000000000</f>
        <v/>
      </c>
      <c r="S17">
        <f>'Report 2'!S17+(21-COLUMN())/1000000000</f>
        <v/>
      </c>
      <c r="T17">
        <f>'Report 2'!T17+(21-COLUMN())/1000000000</f>
        <v/>
      </c>
      <c r="W17">
        <f>INDEX('Report 2'!$B$4:$T$4,MATCH(LARGE(Calc!$B$17:$T$17,1),Calc!$B$17:$T$17,0))</f>
        <v/>
      </c>
      <c r="X17">
        <f>LARGE('Report 2'!$B17:$T17,1)</f>
        <v/>
      </c>
      <c r="Y17">
        <f>INDEX('Report 2'!$B$4:$T$4,MATCH(LARGE(Calc!$B$17:$T$17,2),Calc!$B$17:$T$17,0))</f>
        <v/>
      </c>
      <c r="Z17">
        <f>LARGE('Report 2'!$B17:$T17,2)</f>
        <v/>
      </c>
      <c r="AA17">
        <f>INDEX('Report 2'!$B$4:$T$4,MATCH(LARGE(Calc!$B$17:$T$17,3),Calc!$B$17:$T$17,0))</f>
        <v/>
      </c>
      <c r="AB17">
        <f>LARGE('Report 2'!$B17:$T17,3)</f>
        <v/>
      </c>
      <c r="AC17">
        <f>COUNTIF('Report 2'!$B17:$T17,"&gt;=0.01")-COUNTIF(X17,"&gt;=0.01")-COUNTIF(Z17,"&gt;=0.01")-COUNTIF(AB17,"&gt;=0.01")</f>
        <v/>
      </c>
      <c r="AD17">
        <f>COUNTIFS('Report 2'!$B17:$T17,"&gt;0",'Report 2'!$B17:$T17,"&lt;0.01")</f>
        <v/>
      </c>
      <c r="AE17">
        <f>X17+Z17+AB17</f>
        <v/>
      </c>
    </row>
    <row r="18">
      <c r="A18">
        <f>'Report 2'!A18</f>
        <v/>
      </c>
      <c r="B18">
        <f>'Report 2'!B18+(21-COLUMN())/1000000000</f>
        <v/>
      </c>
      <c r="C18">
        <f>'Report 2'!C18+(21-COLUMN())/1000000000</f>
        <v/>
      </c>
      <c r="D18">
        <f>'Report 2'!D18+(21-COLUMN())/1000000000</f>
        <v/>
      </c>
      <c r="E18">
        <f>'Report 2'!E18+(21-COLUMN())/1000000000</f>
        <v/>
      </c>
      <c r="F18">
        <f>'Report 2'!F18+(21-COLUMN())/1000000000</f>
        <v/>
      </c>
      <c r="G18">
        <f>'Report 2'!G18+(21-COLUMN())/1000000000</f>
        <v/>
      </c>
      <c r="H18">
        <f>'Report 2'!H18+(21-COLUMN())/1000000000</f>
        <v/>
      </c>
      <c r="I18">
        <f>'Report 2'!I18+(21-COLUMN())/1000000000</f>
        <v/>
      </c>
      <c r="J18">
        <f>'Report 2'!J18+(21-COLUMN())/1000000000</f>
        <v/>
      </c>
      <c r="K18">
        <f>'Report 2'!K18+(21-COLUMN())/1000000000</f>
        <v/>
      </c>
      <c r="L18">
        <f>'Report 2'!L18+(21-COLUMN())/1000000000</f>
        <v/>
      </c>
      <c r="M18">
        <f>'Report 2'!M18+(21-COLUMN())/1000000000</f>
        <v/>
      </c>
      <c r="N18">
        <f>'Report 2'!N18+(21-COLUMN())/1000000000</f>
        <v/>
      </c>
      <c r="O18">
        <f>'Report 2'!O18+(21-COLUMN())/1000000000</f>
        <v/>
      </c>
      <c r="P18">
        <f>'Report 2'!P18+(21-COLUMN())/1000000000</f>
        <v/>
      </c>
      <c r="Q18">
        <f>'Report 2'!Q18+(21-COLUMN())/1000000000</f>
        <v/>
      </c>
      <c r="R18">
        <f>'Report 2'!R18+(21-COLUMN())/1000000000</f>
        <v/>
      </c>
      <c r="S18">
        <f>'Report 2'!S18+(21-COLUMN())/1000000000</f>
        <v/>
      </c>
      <c r="T18">
        <f>'Report 2'!T18+(21-COLUMN())/1000000000</f>
        <v/>
      </c>
    </row>
    <row r="22">
      <c r="A22" s="6" t="inlineStr">
        <is>
          <t>Order type</t>
        </is>
      </c>
      <c r="B22" s="6" t="inlineStr">
        <is>
          <t>Credit notes in range</t>
        </is>
      </c>
      <c r="C22" s="6" t="inlineStr">
        <is>
          <t>Share</t>
        </is>
      </c>
      <c r="D22" s="6" t="inlineStr">
        <is>
          <t>Rank key</t>
        </is>
      </c>
      <c r="E22" s="6" t="inlineStr">
        <is>
          <t>Months present</t>
        </is>
      </c>
      <c r="F22" s="6" t="inlineStr">
        <is>
          <t>Peak monthly share</t>
        </is>
      </c>
      <c r="G22" s="6" t="inlineStr">
        <is>
          <t>Peak month</t>
        </is>
      </c>
    </row>
    <row r="23">
      <c r="A23">
        <f>Inputs!B21</f>
        <v/>
      </c>
      <c r="B23">
        <f>SUMIFS(Inputs!B$22:B$34,Inputs!$A$22:$A$34,"&gt;="&amp;'Report 3'!$B$3,Inputs!$A$22:$A$34,"&lt;="&amp;'Report 3'!$B$4)</f>
        <v/>
      </c>
      <c r="C23">
        <f>IFERROR(B23/SUM($B$23:$B$41),0)</f>
        <v/>
      </c>
      <c r="D23">
        <f>C23+(42-ROW())/1000000000</f>
        <v/>
      </c>
      <c r="E23">
        <f>COUNTIF(INDEX($B$45:$T$57,0,1),"&gt;0")</f>
        <v/>
      </c>
      <c r="F23">
        <f>MAX(0,MAX(INDEX($B$45:$T$57,0,1)))</f>
        <v/>
      </c>
      <c r="G23" s="15">
        <f>INDEX($A$45:$A$57,MATCH(MAX(INDEX($B$45:$T$57,0,1)),INDEX($B$45:$T$57,0,1),0))</f>
        <v/>
      </c>
    </row>
    <row r="24">
      <c r="A24">
        <f>Inputs!C21</f>
        <v/>
      </c>
      <c r="B24">
        <f>SUMIFS(Inputs!C$22:C$34,Inputs!$A$22:$A$34,"&gt;="&amp;'Report 3'!$B$3,Inputs!$A$22:$A$34,"&lt;="&amp;'Report 3'!$B$4)</f>
        <v/>
      </c>
      <c r="C24">
        <f>IFERROR(B24/SUM($B$23:$B$41),0)</f>
        <v/>
      </c>
      <c r="D24">
        <f>C24+(42-ROW())/1000000000</f>
        <v/>
      </c>
      <c r="E24">
        <f>COUNTIF(INDEX($B$45:$T$57,0,2),"&gt;0")</f>
        <v/>
      </c>
      <c r="F24">
        <f>MAX(0,MAX(INDEX($B$45:$T$57,0,2)))</f>
        <v/>
      </c>
      <c r="G24" s="15">
        <f>INDEX($A$45:$A$57,MATCH(MAX(INDEX($B$45:$T$57,0,2)),INDEX($B$45:$T$57,0,2),0))</f>
        <v/>
      </c>
    </row>
    <row r="25">
      <c r="A25">
        <f>Inputs!D21</f>
        <v/>
      </c>
      <c r="B25">
        <f>SUMIFS(Inputs!D$22:D$34,Inputs!$A$22:$A$34,"&gt;="&amp;'Report 3'!$B$3,Inputs!$A$22:$A$34,"&lt;="&amp;'Report 3'!$B$4)</f>
        <v/>
      </c>
      <c r="C25">
        <f>IFERROR(B25/SUM($B$23:$B$41),0)</f>
        <v/>
      </c>
      <c r="D25">
        <f>C25+(42-ROW())/1000000000</f>
        <v/>
      </c>
      <c r="E25">
        <f>COUNTIF(INDEX($B$45:$T$57,0,3),"&gt;0")</f>
        <v/>
      </c>
      <c r="F25">
        <f>MAX(0,MAX(INDEX($B$45:$T$57,0,3)))</f>
        <v/>
      </c>
      <c r="G25" s="15">
        <f>INDEX($A$45:$A$57,MATCH(MAX(INDEX($B$45:$T$57,0,3)),INDEX($B$45:$T$57,0,3),0))</f>
        <v/>
      </c>
    </row>
    <row r="26">
      <c r="A26">
        <f>Inputs!E21</f>
        <v/>
      </c>
      <c r="B26">
        <f>SUMIFS(Inputs!E$22:E$34,Inputs!$A$22:$A$34,"&gt;="&amp;'Report 3'!$B$3,Inputs!$A$22:$A$34,"&lt;="&amp;'Report 3'!$B$4)</f>
        <v/>
      </c>
      <c r="C26">
        <f>IFERROR(B26/SUM($B$23:$B$41),0)</f>
        <v/>
      </c>
      <c r="D26">
        <f>C26+(42-ROW())/1000000000</f>
        <v/>
      </c>
      <c r="E26">
        <f>COUNTIF(INDEX($B$45:$T$57,0,4),"&gt;0")</f>
        <v/>
      </c>
      <c r="F26">
        <f>MAX(0,MAX(INDEX($B$45:$T$57,0,4)))</f>
        <v/>
      </c>
      <c r="G26" s="15">
        <f>INDEX($A$45:$A$57,MATCH(MAX(INDEX($B$45:$T$57,0,4)),INDEX($B$45:$T$57,0,4),0))</f>
        <v/>
      </c>
    </row>
    <row r="27">
      <c r="A27">
        <f>Inputs!F21</f>
        <v/>
      </c>
      <c r="B27">
        <f>SUMIFS(Inputs!F$22:F$34,Inputs!$A$22:$A$34,"&gt;="&amp;'Report 3'!$B$3,Inputs!$A$22:$A$34,"&lt;="&amp;'Report 3'!$B$4)</f>
        <v/>
      </c>
      <c r="C27">
        <f>IFERROR(B27/SUM($B$23:$B$41),0)</f>
        <v/>
      </c>
      <c r="D27">
        <f>C27+(42-ROW())/1000000000</f>
        <v/>
      </c>
      <c r="E27">
        <f>COUNTIF(INDEX($B$45:$T$57,0,5),"&gt;0")</f>
        <v/>
      </c>
      <c r="F27">
        <f>MAX(0,MAX(INDEX($B$45:$T$57,0,5)))</f>
        <v/>
      </c>
      <c r="G27" s="15">
        <f>INDEX($A$45:$A$57,MATCH(MAX(INDEX($B$45:$T$57,0,5)),INDEX($B$45:$T$57,0,5),0))</f>
        <v/>
      </c>
    </row>
    <row r="28">
      <c r="A28">
        <f>Inputs!G21</f>
        <v/>
      </c>
      <c r="B28">
        <f>SUMIFS(Inputs!G$22:G$34,Inputs!$A$22:$A$34,"&gt;="&amp;'Report 3'!$B$3,Inputs!$A$22:$A$34,"&lt;="&amp;'Report 3'!$B$4)</f>
        <v/>
      </c>
      <c r="C28">
        <f>IFERROR(B28/SUM($B$23:$B$41),0)</f>
        <v/>
      </c>
      <c r="D28">
        <f>C28+(42-ROW())/1000000000</f>
        <v/>
      </c>
      <c r="E28">
        <f>COUNTIF(INDEX($B$45:$T$57,0,6),"&gt;0")</f>
        <v/>
      </c>
      <c r="F28">
        <f>MAX(0,MAX(INDEX($B$45:$T$57,0,6)))</f>
        <v/>
      </c>
      <c r="G28" s="15">
        <f>INDEX($A$45:$A$57,MATCH(MAX(INDEX($B$45:$T$57,0,6)),INDEX($B$45:$T$57,0,6),0))</f>
        <v/>
      </c>
    </row>
    <row r="29">
      <c r="A29">
        <f>Inputs!H21</f>
        <v/>
      </c>
      <c r="B29">
        <f>SUMIFS(Inputs!H$22:H$34,Inputs!$A$22:$A$34,"&gt;="&amp;'Report 3'!$B$3,Inputs!$A$22:$A$34,"&lt;="&amp;'Report 3'!$B$4)</f>
        <v/>
      </c>
      <c r="C29">
        <f>IFERROR(B29/SUM($B$23:$B$41),0)</f>
        <v/>
      </c>
      <c r="D29">
        <f>C29+(42-ROW())/1000000000</f>
        <v/>
      </c>
      <c r="E29">
        <f>COUNTIF(INDEX($B$45:$T$57,0,7),"&gt;0")</f>
        <v/>
      </c>
      <c r="F29">
        <f>MAX(0,MAX(INDEX($B$45:$T$57,0,7)))</f>
        <v/>
      </c>
      <c r="G29" s="15">
        <f>INDEX($A$45:$A$57,MATCH(MAX(INDEX($B$45:$T$57,0,7)),INDEX($B$45:$T$57,0,7),0))</f>
        <v/>
      </c>
    </row>
    <row r="30">
      <c r="A30">
        <f>Inputs!I21</f>
        <v/>
      </c>
      <c r="B30">
        <f>SUMIFS(Inputs!I$22:I$34,Inputs!$A$22:$A$34,"&gt;="&amp;'Report 3'!$B$3,Inputs!$A$22:$A$34,"&lt;="&amp;'Report 3'!$B$4)</f>
        <v/>
      </c>
      <c r="C30">
        <f>IFERROR(B30/SUM($B$23:$B$41),0)</f>
        <v/>
      </c>
      <c r="D30">
        <f>C30+(42-ROW())/1000000000</f>
        <v/>
      </c>
      <c r="E30">
        <f>COUNTIF(INDEX($B$45:$T$57,0,8),"&gt;0")</f>
        <v/>
      </c>
      <c r="F30">
        <f>MAX(0,MAX(INDEX($B$45:$T$57,0,8)))</f>
        <v/>
      </c>
      <c r="G30" s="15">
        <f>INDEX($A$45:$A$57,MATCH(MAX(INDEX($B$45:$T$57,0,8)),INDEX($B$45:$T$57,0,8),0))</f>
        <v/>
      </c>
    </row>
    <row r="31">
      <c r="A31">
        <f>Inputs!J21</f>
        <v/>
      </c>
      <c r="B31">
        <f>SUMIFS(Inputs!J$22:J$34,Inputs!$A$22:$A$34,"&gt;="&amp;'Report 3'!$B$3,Inputs!$A$22:$A$34,"&lt;="&amp;'Report 3'!$B$4)</f>
        <v/>
      </c>
      <c r="C31">
        <f>IFERROR(B31/SUM($B$23:$B$41),0)</f>
        <v/>
      </c>
      <c r="D31">
        <f>C31+(42-ROW())/1000000000</f>
        <v/>
      </c>
      <c r="E31">
        <f>COUNTIF(INDEX($B$45:$T$57,0,9),"&gt;0")</f>
        <v/>
      </c>
      <c r="F31">
        <f>MAX(0,MAX(INDEX($B$45:$T$57,0,9)))</f>
        <v/>
      </c>
      <c r="G31" s="15">
        <f>INDEX($A$45:$A$57,MATCH(MAX(INDEX($B$45:$T$57,0,9)),INDEX($B$45:$T$57,0,9),0))</f>
        <v/>
      </c>
    </row>
    <row r="32">
      <c r="A32">
        <f>Inputs!K21</f>
        <v/>
      </c>
      <c r="B32">
        <f>SUMIFS(Inputs!K$22:K$34,Inputs!$A$22:$A$34,"&gt;="&amp;'Report 3'!$B$3,Inputs!$A$22:$A$34,"&lt;="&amp;'Report 3'!$B$4)</f>
        <v/>
      </c>
      <c r="C32">
        <f>IFERROR(B32/SUM($B$23:$B$41),0)</f>
        <v/>
      </c>
      <c r="D32">
        <f>C32+(42-ROW())/1000000000</f>
        <v/>
      </c>
      <c r="E32">
        <f>COUNTIF(INDEX($B$45:$T$57,0,10),"&gt;0")</f>
        <v/>
      </c>
      <c r="F32">
        <f>MAX(0,MAX(INDEX($B$45:$T$57,0,10)))</f>
        <v/>
      </c>
      <c r="G32" s="15">
        <f>INDEX($A$45:$A$57,MATCH(MAX(INDEX($B$45:$T$57,0,10)),INDEX($B$45:$T$57,0,10),0))</f>
        <v/>
      </c>
    </row>
    <row r="33">
      <c r="A33">
        <f>Inputs!L21</f>
        <v/>
      </c>
      <c r="B33">
        <f>SUMIFS(Inputs!L$22:L$34,Inputs!$A$22:$A$34,"&gt;="&amp;'Report 3'!$B$3,Inputs!$A$22:$A$34,"&lt;="&amp;'Report 3'!$B$4)</f>
        <v/>
      </c>
      <c r="C33">
        <f>IFERROR(B33/SUM($B$23:$B$41),0)</f>
        <v/>
      </c>
      <c r="D33">
        <f>C33+(42-ROW())/1000000000</f>
        <v/>
      </c>
      <c r="E33">
        <f>COUNTIF(INDEX($B$45:$T$57,0,11),"&gt;0")</f>
        <v/>
      </c>
      <c r="F33">
        <f>MAX(0,MAX(INDEX($B$45:$T$57,0,11)))</f>
        <v/>
      </c>
      <c r="G33" s="15">
        <f>INDEX($A$45:$A$57,MATCH(MAX(INDEX($B$45:$T$57,0,11)),INDEX($B$45:$T$57,0,11),0))</f>
        <v/>
      </c>
    </row>
    <row r="34">
      <c r="A34">
        <f>Inputs!M21</f>
        <v/>
      </c>
      <c r="B34">
        <f>SUMIFS(Inputs!M$22:M$34,Inputs!$A$22:$A$34,"&gt;="&amp;'Report 3'!$B$3,Inputs!$A$22:$A$34,"&lt;="&amp;'Report 3'!$B$4)</f>
        <v/>
      </c>
      <c r="C34">
        <f>IFERROR(B34/SUM($B$23:$B$41),0)</f>
        <v/>
      </c>
      <c r="D34">
        <f>C34+(42-ROW())/1000000000</f>
        <v/>
      </c>
      <c r="E34">
        <f>COUNTIF(INDEX($B$45:$T$57,0,12),"&gt;0")</f>
        <v/>
      </c>
      <c r="F34">
        <f>MAX(0,MAX(INDEX($B$45:$T$57,0,12)))</f>
        <v/>
      </c>
      <c r="G34" s="15">
        <f>INDEX($A$45:$A$57,MATCH(MAX(INDEX($B$45:$T$57,0,12)),INDEX($B$45:$T$57,0,12),0))</f>
        <v/>
      </c>
    </row>
    <row r="35">
      <c r="A35">
        <f>Inputs!N21</f>
        <v/>
      </c>
      <c r="B35">
        <f>SUMIFS(Inputs!N$22:N$34,Inputs!$A$22:$A$34,"&gt;="&amp;'Report 3'!$B$3,Inputs!$A$22:$A$34,"&lt;="&amp;'Report 3'!$B$4)</f>
        <v/>
      </c>
      <c r="C35">
        <f>IFERROR(B35/SUM($B$23:$B$41),0)</f>
        <v/>
      </c>
      <c r="D35">
        <f>C35+(42-ROW())/1000000000</f>
        <v/>
      </c>
      <c r="E35">
        <f>COUNTIF(INDEX($B$45:$T$57,0,13),"&gt;0")</f>
        <v/>
      </c>
      <c r="F35">
        <f>MAX(0,MAX(INDEX($B$45:$T$57,0,13)))</f>
        <v/>
      </c>
      <c r="G35" s="15">
        <f>INDEX($A$45:$A$57,MATCH(MAX(INDEX($B$45:$T$57,0,13)),INDEX($B$45:$T$57,0,13),0))</f>
        <v/>
      </c>
    </row>
    <row r="36">
      <c r="A36">
        <f>Inputs!O21</f>
        <v/>
      </c>
      <c r="B36">
        <f>SUMIFS(Inputs!O$22:O$34,Inputs!$A$22:$A$34,"&gt;="&amp;'Report 3'!$B$3,Inputs!$A$22:$A$34,"&lt;="&amp;'Report 3'!$B$4)</f>
        <v/>
      </c>
      <c r="C36">
        <f>IFERROR(B36/SUM($B$23:$B$41),0)</f>
        <v/>
      </c>
      <c r="D36">
        <f>C36+(42-ROW())/1000000000</f>
        <v/>
      </c>
      <c r="E36">
        <f>COUNTIF(INDEX($B$45:$T$57,0,14),"&gt;0")</f>
        <v/>
      </c>
      <c r="F36">
        <f>MAX(0,MAX(INDEX($B$45:$T$57,0,14)))</f>
        <v/>
      </c>
      <c r="G36" s="15">
        <f>INDEX($A$45:$A$57,MATCH(MAX(INDEX($B$45:$T$57,0,14)),INDEX($B$45:$T$57,0,14),0))</f>
        <v/>
      </c>
    </row>
    <row r="37">
      <c r="A37">
        <f>Inputs!P21</f>
        <v/>
      </c>
      <c r="B37">
        <f>SUMIFS(Inputs!P$22:P$34,Inputs!$A$22:$A$34,"&gt;="&amp;'Report 3'!$B$3,Inputs!$A$22:$A$34,"&lt;="&amp;'Report 3'!$B$4)</f>
        <v/>
      </c>
      <c r="C37">
        <f>IFERROR(B37/SUM($B$23:$B$41),0)</f>
        <v/>
      </c>
      <c r="D37">
        <f>C37+(42-ROW())/1000000000</f>
        <v/>
      </c>
      <c r="E37">
        <f>COUNTIF(INDEX($B$45:$T$57,0,15),"&gt;0")</f>
        <v/>
      </c>
      <c r="F37">
        <f>MAX(0,MAX(INDEX($B$45:$T$57,0,15)))</f>
        <v/>
      </c>
      <c r="G37" s="15">
        <f>INDEX($A$45:$A$57,MATCH(MAX(INDEX($B$45:$T$57,0,15)),INDEX($B$45:$T$57,0,15),0))</f>
        <v/>
      </c>
    </row>
    <row r="38">
      <c r="A38">
        <f>Inputs!Q21</f>
        <v/>
      </c>
      <c r="B38">
        <f>SUMIFS(Inputs!Q$22:Q$34,Inputs!$A$22:$A$34,"&gt;="&amp;'Report 3'!$B$3,Inputs!$A$22:$A$34,"&lt;="&amp;'Report 3'!$B$4)</f>
        <v/>
      </c>
      <c r="C38">
        <f>IFERROR(B38/SUM($B$23:$B$41),0)</f>
        <v/>
      </c>
      <c r="D38">
        <f>C38+(42-ROW())/1000000000</f>
        <v/>
      </c>
      <c r="E38">
        <f>COUNTIF(INDEX($B$45:$T$57,0,16),"&gt;0")</f>
        <v/>
      </c>
      <c r="F38">
        <f>MAX(0,MAX(INDEX($B$45:$T$57,0,16)))</f>
        <v/>
      </c>
      <c r="G38" s="15">
        <f>INDEX($A$45:$A$57,MATCH(MAX(INDEX($B$45:$T$57,0,16)),INDEX($B$45:$T$57,0,16),0))</f>
        <v/>
      </c>
    </row>
    <row r="39">
      <c r="A39">
        <f>Inputs!R21</f>
        <v/>
      </c>
      <c r="B39">
        <f>SUMIFS(Inputs!R$22:R$34,Inputs!$A$22:$A$34,"&gt;="&amp;'Report 3'!$B$3,Inputs!$A$22:$A$34,"&lt;="&amp;'Report 3'!$B$4)</f>
        <v/>
      </c>
      <c r="C39">
        <f>IFERROR(B39/SUM($B$23:$B$41),0)</f>
        <v/>
      </c>
      <c r="D39">
        <f>C39+(42-ROW())/1000000000</f>
        <v/>
      </c>
      <c r="E39">
        <f>COUNTIF(INDEX($B$45:$T$57,0,17),"&gt;0")</f>
        <v/>
      </c>
      <c r="F39">
        <f>MAX(0,MAX(INDEX($B$45:$T$57,0,17)))</f>
        <v/>
      </c>
      <c r="G39" s="15">
        <f>INDEX($A$45:$A$57,MATCH(MAX(INDEX($B$45:$T$57,0,17)),INDEX($B$45:$T$57,0,17),0))</f>
        <v/>
      </c>
    </row>
    <row r="40">
      <c r="A40">
        <f>Inputs!S21</f>
        <v/>
      </c>
      <c r="B40">
        <f>SUMIFS(Inputs!S$22:S$34,Inputs!$A$22:$A$34,"&gt;="&amp;'Report 3'!$B$3,Inputs!$A$22:$A$34,"&lt;="&amp;'Report 3'!$B$4)</f>
        <v/>
      </c>
      <c r="C40">
        <f>IFERROR(B40/SUM($B$23:$B$41),0)</f>
        <v/>
      </c>
      <c r="D40">
        <f>C40+(42-ROW())/1000000000</f>
        <v/>
      </c>
      <c r="E40">
        <f>COUNTIF(INDEX($B$45:$T$57,0,18),"&gt;0")</f>
        <v/>
      </c>
      <c r="F40">
        <f>MAX(0,MAX(INDEX($B$45:$T$57,0,18)))</f>
        <v/>
      </c>
      <c r="G40" s="15">
        <f>INDEX($A$45:$A$57,MATCH(MAX(INDEX($B$45:$T$57,0,18)),INDEX($B$45:$T$57,0,18),0))</f>
        <v/>
      </c>
    </row>
    <row r="41">
      <c r="A41">
        <f>Inputs!T21</f>
        <v/>
      </c>
      <c r="B41">
        <f>SUMIFS(Inputs!T$22:T$34,Inputs!$A$22:$A$34,"&gt;="&amp;'Report 3'!$B$3,Inputs!$A$22:$A$34,"&lt;="&amp;'Report 3'!$B$4)</f>
        <v/>
      </c>
      <c r="C41">
        <f>IFERROR(B41/SUM($B$23:$B$41),0)</f>
        <v/>
      </c>
      <c r="D41">
        <f>C41+(42-ROW())/1000000000</f>
        <v/>
      </c>
      <c r="E41">
        <f>COUNTIF(INDEX($B$45:$T$57,0,19),"&gt;0")</f>
        <v/>
      </c>
      <c r="F41">
        <f>MAX(0,MAX(INDEX($B$45:$T$57,0,19)))</f>
        <v/>
      </c>
      <c r="G41" s="15">
        <f>INDEX($A$45:$A$57,MATCH(MAX(INDEX($B$45:$T$57,0,19)),INDEX($B$45:$T$57,0,19),0))</f>
        <v/>
      </c>
    </row>
    <row r="44">
      <c r="A44" s="6" t="inlineStr">
        <is>
          <t>Month (in range)</t>
        </is>
      </c>
      <c r="B44" s="6">
        <f>'Report 2'!B4</f>
        <v/>
      </c>
      <c r="C44" s="6">
        <f>'Report 2'!C4</f>
        <v/>
      </c>
      <c r="D44" s="6">
        <f>'Report 2'!D4</f>
        <v/>
      </c>
      <c r="E44" s="6">
        <f>'Report 2'!E4</f>
        <v/>
      </c>
      <c r="F44" s="6">
        <f>'Report 2'!F4</f>
        <v/>
      </c>
      <c r="G44" s="6">
        <f>'Report 2'!G4</f>
        <v/>
      </c>
      <c r="H44" s="6">
        <f>'Report 2'!H4</f>
        <v/>
      </c>
      <c r="I44" s="6">
        <f>'Report 2'!I4</f>
        <v/>
      </c>
      <c r="J44" s="6">
        <f>'Report 2'!J4</f>
        <v/>
      </c>
      <c r="K44" s="6">
        <f>'Report 2'!K4</f>
        <v/>
      </c>
      <c r="L44" s="6">
        <f>'Report 2'!L4</f>
        <v/>
      </c>
      <c r="M44" s="6">
        <f>'Report 2'!M4</f>
        <v/>
      </c>
      <c r="N44" s="6">
        <f>'Report 2'!N4</f>
        <v/>
      </c>
      <c r="O44" s="6">
        <f>'Report 2'!O4</f>
        <v/>
      </c>
      <c r="P44" s="6">
        <f>'Report 2'!P4</f>
        <v/>
      </c>
      <c r="Q44" s="6">
        <f>'Report 2'!Q4</f>
        <v/>
      </c>
      <c r="R44" s="6">
        <f>'Report 2'!R4</f>
        <v/>
      </c>
      <c r="S44" s="6">
        <f>'Report 2'!S4</f>
        <v/>
      </c>
      <c r="T44" s="6">
        <f>'Report 2'!T4</f>
        <v/>
      </c>
    </row>
    <row r="45">
      <c r="A45" s="15">
        <f>Inputs!A22</f>
        <v/>
      </c>
      <c r="B45">
        <f>IF(AND(Inputs!$A22&gt;='Report 3'!$B$3,Inputs!$A22&lt;='Report 3'!$B$4),'Report 2'!B5,-1)</f>
        <v/>
      </c>
      <c r="C45">
        <f>IF(AND(Inputs!$A22&gt;='Report 3'!$B$3,Inputs!$A22&lt;='Report 3'!$B$4),'Report 2'!C5,-1)</f>
        <v/>
      </c>
      <c r="D45">
        <f>IF(AND(Inputs!$A22&gt;='Report 3'!$B$3,Inputs!$A22&lt;='Report 3'!$B$4),'Report 2'!D5,-1)</f>
        <v/>
      </c>
      <c r="E45">
        <f>IF(AND(Inputs!$A22&gt;='Report 3'!$B$3,Inputs!$A22&lt;='Report 3'!$B$4),'Report 2'!E5,-1)</f>
        <v/>
      </c>
      <c r="F45">
        <f>IF(AND(Inputs!$A22&gt;='Report 3'!$B$3,Inputs!$A22&lt;='Report 3'!$B$4),'Report 2'!F5,-1)</f>
        <v/>
      </c>
      <c r="G45">
        <f>IF(AND(Inputs!$A22&gt;='Report 3'!$B$3,Inputs!$A22&lt;='Report 3'!$B$4),'Report 2'!G5,-1)</f>
        <v/>
      </c>
      <c r="H45">
        <f>IF(AND(Inputs!$A22&gt;='Report 3'!$B$3,Inputs!$A22&lt;='Report 3'!$B$4),'Report 2'!H5,-1)</f>
        <v/>
      </c>
      <c r="I45">
        <f>IF(AND(Inputs!$A22&gt;='Report 3'!$B$3,Inputs!$A22&lt;='Report 3'!$B$4),'Report 2'!I5,-1)</f>
        <v/>
      </c>
      <c r="J45">
        <f>IF(AND(Inputs!$A22&gt;='Report 3'!$B$3,Inputs!$A22&lt;='Report 3'!$B$4),'Report 2'!J5,-1)</f>
        <v/>
      </c>
      <c r="K45">
        <f>IF(AND(Inputs!$A22&gt;='Report 3'!$B$3,Inputs!$A22&lt;='Report 3'!$B$4),'Report 2'!K5,-1)</f>
        <v/>
      </c>
      <c r="L45">
        <f>IF(AND(Inputs!$A22&gt;='Report 3'!$B$3,Inputs!$A22&lt;='Report 3'!$B$4),'Report 2'!L5,-1)</f>
        <v/>
      </c>
      <c r="M45">
        <f>IF(AND(Inputs!$A22&gt;='Report 3'!$B$3,Inputs!$A22&lt;='Report 3'!$B$4),'Report 2'!M5,-1)</f>
        <v/>
      </c>
      <c r="N45">
        <f>IF(AND(Inputs!$A22&gt;='Report 3'!$B$3,Inputs!$A22&lt;='Report 3'!$B$4),'Report 2'!N5,-1)</f>
        <v/>
      </c>
      <c r="O45">
        <f>IF(AND(Inputs!$A22&gt;='Report 3'!$B$3,Inputs!$A22&lt;='Report 3'!$B$4),'Report 2'!O5,-1)</f>
        <v/>
      </c>
      <c r="P45">
        <f>IF(AND(Inputs!$A22&gt;='Report 3'!$B$3,Inputs!$A22&lt;='Report 3'!$B$4),'Report 2'!P5,-1)</f>
        <v/>
      </c>
      <c r="Q45">
        <f>IF(AND(Inputs!$A22&gt;='Report 3'!$B$3,Inputs!$A22&lt;='Report 3'!$B$4),'Report 2'!Q5,-1)</f>
        <v/>
      </c>
      <c r="R45">
        <f>IF(AND(Inputs!$A22&gt;='Report 3'!$B$3,Inputs!$A22&lt;='Report 3'!$B$4),'Report 2'!R5,-1)</f>
        <v/>
      </c>
      <c r="S45">
        <f>IF(AND(Inputs!$A22&gt;='Report 3'!$B$3,Inputs!$A22&lt;='Report 3'!$B$4),'Report 2'!S5,-1)</f>
        <v/>
      </c>
      <c r="T45">
        <f>IF(AND(Inputs!$A22&gt;='Report 3'!$B$3,Inputs!$A22&lt;='Report 3'!$B$4),'Report 2'!T5,-1)</f>
        <v/>
      </c>
    </row>
    <row r="46">
      <c r="A46" s="15">
        <f>Inputs!A23</f>
        <v/>
      </c>
      <c r="B46">
        <f>IF(AND(Inputs!$A23&gt;='Report 3'!$B$3,Inputs!$A23&lt;='Report 3'!$B$4),'Report 2'!B6,-1)</f>
        <v/>
      </c>
      <c r="C46">
        <f>IF(AND(Inputs!$A23&gt;='Report 3'!$B$3,Inputs!$A23&lt;='Report 3'!$B$4),'Report 2'!C6,-1)</f>
        <v/>
      </c>
      <c r="D46">
        <f>IF(AND(Inputs!$A23&gt;='Report 3'!$B$3,Inputs!$A23&lt;='Report 3'!$B$4),'Report 2'!D6,-1)</f>
        <v/>
      </c>
      <c r="E46">
        <f>IF(AND(Inputs!$A23&gt;='Report 3'!$B$3,Inputs!$A23&lt;='Report 3'!$B$4),'Report 2'!E6,-1)</f>
        <v/>
      </c>
      <c r="F46">
        <f>IF(AND(Inputs!$A23&gt;='Report 3'!$B$3,Inputs!$A23&lt;='Report 3'!$B$4),'Report 2'!F6,-1)</f>
        <v/>
      </c>
      <c r="G46">
        <f>IF(AND(Inputs!$A23&gt;='Report 3'!$B$3,Inputs!$A23&lt;='Report 3'!$B$4),'Report 2'!G6,-1)</f>
        <v/>
      </c>
      <c r="H46">
        <f>IF(AND(Inputs!$A23&gt;='Report 3'!$B$3,Inputs!$A23&lt;='Report 3'!$B$4),'Report 2'!H6,-1)</f>
        <v/>
      </c>
      <c r="I46">
        <f>IF(AND(Inputs!$A23&gt;='Report 3'!$B$3,Inputs!$A23&lt;='Report 3'!$B$4),'Report 2'!I6,-1)</f>
        <v/>
      </c>
      <c r="J46">
        <f>IF(AND(Inputs!$A23&gt;='Report 3'!$B$3,Inputs!$A23&lt;='Report 3'!$B$4),'Report 2'!J6,-1)</f>
        <v/>
      </c>
      <c r="K46">
        <f>IF(AND(Inputs!$A23&gt;='Report 3'!$B$3,Inputs!$A23&lt;='Report 3'!$B$4),'Report 2'!K6,-1)</f>
        <v/>
      </c>
      <c r="L46">
        <f>IF(AND(Inputs!$A23&gt;='Report 3'!$B$3,Inputs!$A23&lt;='Report 3'!$B$4),'Report 2'!L6,-1)</f>
        <v/>
      </c>
      <c r="M46">
        <f>IF(AND(Inputs!$A23&gt;='Report 3'!$B$3,Inputs!$A23&lt;='Report 3'!$B$4),'Report 2'!M6,-1)</f>
        <v/>
      </c>
      <c r="N46">
        <f>IF(AND(Inputs!$A23&gt;='Report 3'!$B$3,Inputs!$A23&lt;='Report 3'!$B$4),'Report 2'!N6,-1)</f>
        <v/>
      </c>
      <c r="O46">
        <f>IF(AND(Inputs!$A23&gt;='Report 3'!$B$3,Inputs!$A23&lt;='Report 3'!$B$4),'Report 2'!O6,-1)</f>
        <v/>
      </c>
      <c r="P46">
        <f>IF(AND(Inputs!$A23&gt;='Report 3'!$B$3,Inputs!$A23&lt;='Report 3'!$B$4),'Report 2'!P6,-1)</f>
        <v/>
      </c>
      <c r="Q46">
        <f>IF(AND(Inputs!$A23&gt;='Report 3'!$B$3,Inputs!$A23&lt;='Report 3'!$B$4),'Report 2'!Q6,-1)</f>
        <v/>
      </c>
      <c r="R46">
        <f>IF(AND(Inputs!$A23&gt;='Report 3'!$B$3,Inputs!$A23&lt;='Report 3'!$B$4),'Report 2'!R6,-1)</f>
        <v/>
      </c>
      <c r="S46">
        <f>IF(AND(Inputs!$A23&gt;='Report 3'!$B$3,Inputs!$A23&lt;='Report 3'!$B$4),'Report 2'!S6,-1)</f>
        <v/>
      </c>
      <c r="T46">
        <f>IF(AND(Inputs!$A23&gt;='Report 3'!$B$3,Inputs!$A23&lt;='Report 3'!$B$4),'Report 2'!T6,-1)</f>
        <v/>
      </c>
    </row>
    <row r="47">
      <c r="A47" s="15">
        <f>Inputs!A24</f>
        <v/>
      </c>
      <c r="B47">
        <f>IF(AND(Inputs!$A24&gt;='Report 3'!$B$3,Inputs!$A24&lt;='Report 3'!$B$4),'Report 2'!B7,-1)</f>
        <v/>
      </c>
      <c r="C47">
        <f>IF(AND(Inputs!$A24&gt;='Report 3'!$B$3,Inputs!$A24&lt;='Report 3'!$B$4),'Report 2'!C7,-1)</f>
        <v/>
      </c>
      <c r="D47">
        <f>IF(AND(Inputs!$A24&gt;='Report 3'!$B$3,Inputs!$A24&lt;='Report 3'!$B$4),'Report 2'!D7,-1)</f>
        <v/>
      </c>
      <c r="E47">
        <f>IF(AND(Inputs!$A24&gt;='Report 3'!$B$3,Inputs!$A24&lt;='Report 3'!$B$4),'Report 2'!E7,-1)</f>
        <v/>
      </c>
      <c r="F47">
        <f>IF(AND(Inputs!$A24&gt;='Report 3'!$B$3,Inputs!$A24&lt;='Report 3'!$B$4),'Report 2'!F7,-1)</f>
        <v/>
      </c>
      <c r="G47">
        <f>IF(AND(Inputs!$A24&gt;='Report 3'!$B$3,Inputs!$A24&lt;='Report 3'!$B$4),'Report 2'!G7,-1)</f>
        <v/>
      </c>
      <c r="H47">
        <f>IF(AND(Inputs!$A24&gt;='Report 3'!$B$3,Inputs!$A24&lt;='Report 3'!$B$4),'Report 2'!H7,-1)</f>
        <v/>
      </c>
      <c r="I47">
        <f>IF(AND(Inputs!$A24&gt;='Report 3'!$B$3,Inputs!$A24&lt;='Report 3'!$B$4),'Report 2'!I7,-1)</f>
        <v/>
      </c>
      <c r="J47">
        <f>IF(AND(Inputs!$A24&gt;='Report 3'!$B$3,Inputs!$A24&lt;='Report 3'!$B$4),'Report 2'!J7,-1)</f>
        <v/>
      </c>
      <c r="K47">
        <f>IF(AND(Inputs!$A24&gt;='Report 3'!$B$3,Inputs!$A24&lt;='Report 3'!$B$4),'Report 2'!K7,-1)</f>
        <v/>
      </c>
      <c r="L47">
        <f>IF(AND(Inputs!$A24&gt;='Report 3'!$B$3,Inputs!$A24&lt;='Report 3'!$B$4),'Report 2'!L7,-1)</f>
        <v/>
      </c>
      <c r="M47">
        <f>IF(AND(Inputs!$A24&gt;='Report 3'!$B$3,Inputs!$A24&lt;='Report 3'!$B$4),'Report 2'!M7,-1)</f>
        <v/>
      </c>
      <c r="N47">
        <f>IF(AND(Inputs!$A24&gt;='Report 3'!$B$3,Inputs!$A24&lt;='Report 3'!$B$4),'Report 2'!N7,-1)</f>
        <v/>
      </c>
      <c r="O47">
        <f>IF(AND(Inputs!$A24&gt;='Report 3'!$B$3,Inputs!$A24&lt;='Report 3'!$B$4),'Report 2'!O7,-1)</f>
        <v/>
      </c>
      <c r="P47">
        <f>IF(AND(Inputs!$A24&gt;='Report 3'!$B$3,Inputs!$A24&lt;='Report 3'!$B$4),'Report 2'!P7,-1)</f>
        <v/>
      </c>
      <c r="Q47">
        <f>IF(AND(Inputs!$A24&gt;='Report 3'!$B$3,Inputs!$A24&lt;='Report 3'!$B$4),'Report 2'!Q7,-1)</f>
        <v/>
      </c>
      <c r="R47">
        <f>IF(AND(Inputs!$A24&gt;='Report 3'!$B$3,Inputs!$A24&lt;='Report 3'!$B$4),'Report 2'!R7,-1)</f>
        <v/>
      </c>
      <c r="S47">
        <f>IF(AND(Inputs!$A24&gt;='Report 3'!$B$3,Inputs!$A24&lt;='Report 3'!$B$4),'Report 2'!S7,-1)</f>
        <v/>
      </c>
      <c r="T47">
        <f>IF(AND(Inputs!$A24&gt;='Report 3'!$B$3,Inputs!$A24&lt;='Report 3'!$B$4),'Report 2'!T7,-1)</f>
        <v/>
      </c>
    </row>
    <row r="48">
      <c r="A48" s="15">
        <f>Inputs!A25</f>
        <v/>
      </c>
      <c r="B48">
        <f>IF(AND(Inputs!$A25&gt;='Report 3'!$B$3,Inputs!$A25&lt;='Report 3'!$B$4),'Report 2'!B8,-1)</f>
        <v/>
      </c>
      <c r="C48">
        <f>IF(AND(Inputs!$A25&gt;='Report 3'!$B$3,Inputs!$A25&lt;='Report 3'!$B$4),'Report 2'!C8,-1)</f>
        <v/>
      </c>
      <c r="D48">
        <f>IF(AND(Inputs!$A25&gt;='Report 3'!$B$3,Inputs!$A25&lt;='Report 3'!$B$4),'Report 2'!D8,-1)</f>
        <v/>
      </c>
      <c r="E48">
        <f>IF(AND(Inputs!$A25&gt;='Report 3'!$B$3,Inputs!$A25&lt;='Report 3'!$B$4),'Report 2'!E8,-1)</f>
        <v/>
      </c>
      <c r="F48">
        <f>IF(AND(Inputs!$A25&gt;='Report 3'!$B$3,Inputs!$A25&lt;='Report 3'!$B$4),'Report 2'!F8,-1)</f>
        <v/>
      </c>
      <c r="G48">
        <f>IF(AND(Inputs!$A25&gt;='Report 3'!$B$3,Inputs!$A25&lt;='Report 3'!$B$4),'Report 2'!G8,-1)</f>
        <v/>
      </c>
      <c r="H48">
        <f>IF(AND(Inputs!$A25&gt;='Report 3'!$B$3,Inputs!$A25&lt;='Report 3'!$B$4),'Report 2'!H8,-1)</f>
        <v/>
      </c>
      <c r="I48">
        <f>IF(AND(Inputs!$A25&gt;='Report 3'!$B$3,Inputs!$A25&lt;='Report 3'!$B$4),'Report 2'!I8,-1)</f>
        <v/>
      </c>
      <c r="J48">
        <f>IF(AND(Inputs!$A25&gt;='Report 3'!$B$3,Inputs!$A25&lt;='Report 3'!$B$4),'Report 2'!J8,-1)</f>
        <v/>
      </c>
      <c r="K48">
        <f>IF(AND(Inputs!$A25&gt;='Report 3'!$B$3,Inputs!$A25&lt;='Report 3'!$B$4),'Report 2'!K8,-1)</f>
        <v/>
      </c>
      <c r="L48">
        <f>IF(AND(Inputs!$A25&gt;='Report 3'!$B$3,Inputs!$A25&lt;='Report 3'!$B$4),'Report 2'!L8,-1)</f>
        <v/>
      </c>
      <c r="M48">
        <f>IF(AND(Inputs!$A25&gt;='Report 3'!$B$3,Inputs!$A25&lt;='Report 3'!$B$4),'Report 2'!M8,-1)</f>
        <v/>
      </c>
      <c r="N48">
        <f>IF(AND(Inputs!$A25&gt;='Report 3'!$B$3,Inputs!$A25&lt;='Report 3'!$B$4),'Report 2'!N8,-1)</f>
        <v/>
      </c>
      <c r="O48">
        <f>IF(AND(Inputs!$A25&gt;='Report 3'!$B$3,Inputs!$A25&lt;='Report 3'!$B$4),'Report 2'!O8,-1)</f>
        <v/>
      </c>
      <c r="P48">
        <f>IF(AND(Inputs!$A25&gt;='Report 3'!$B$3,Inputs!$A25&lt;='Report 3'!$B$4),'Report 2'!P8,-1)</f>
        <v/>
      </c>
      <c r="Q48">
        <f>IF(AND(Inputs!$A25&gt;='Report 3'!$B$3,Inputs!$A25&lt;='Report 3'!$B$4),'Report 2'!Q8,-1)</f>
        <v/>
      </c>
      <c r="R48">
        <f>IF(AND(Inputs!$A25&gt;='Report 3'!$B$3,Inputs!$A25&lt;='Report 3'!$B$4),'Report 2'!R8,-1)</f>
        <v/>
      </c>
      <c r="S48">
        <f>IF(AND(Inputs!$A25&gt;='Report 3'!$B$3,Inputs!$A25&lt;='Report 3'!$B$4),'Report 2'!S8,-1)</f>
        <v/>
      </c>
      <c r="T48">
        <f>IF(AND(Inputs!$A25&gt;='Report 3'!$B$3,Inputs!$A25&lt;='Report 3'!$B$4),'Report 2'!T8,-1)</f>
        <v/>
      </c>
    </row>
    <row r="49">
      <c r="A49" s="15">
        <f>Inputs!A26</f>
        <v/>
      </c>
      <c r="B49">
        <f>IF(AND(Inputs!$A26&gt;='Report 3'!$B$3,Inputs!$A26&lt;='Report 3'!$B$4),'Report 2'!B9,-1)</f>
        <v/>
      </c>
      <c r="C49">
        <f>IF(AND(Inputs!$A26&gt;='Report 3'!$B$3,Inputs!$A26&lt;='Report 3'!$B$4),'Report 2'!C9,-1)</f>
        <v/>
      </c>
      <c r="D49">
        <f>IF(AND(Inputs!$A26&gt;='Report 3'!$B$3,Inputs!$A26&lt;='Report 3'!$B$4),'Report 2'!D9,-1)</f>
        <v/>
      </c>
      <c r="E49">
        <f>IF(AND(Inputs!$A26&gt;='Report 3'!$B$3,Inputs!$A26&lt;='Report 3'!$B$4),'Report 2'!E9,-1)</f>
        <v/>
      </c>
      <c r="F49">
        <f>IF(AND(Inputs!$A26&gt;='Report 3'!$B$3,Inputs!$A26&lt;='Report 3'!$B$4),'Report 2'!F9,-1)</f>
        <v/>
      </c>
      <c r="G49">
        <f>IF(AND(Inputs!$A26&gt;='Report 3'!$B$3,Inputs!$A26&lt;='Report 3'!$B$4),'Report 2'!G9,-1)</f>
        <v/>
      </c>
      <c r="H49">
        <f>IF(AND(Inputs!$A26&gt;='Report 3'!$B$3,Inputs!$A26&lt;='Report 3'!$B$4),'Report 2'!H9,-1)</f>
        <v/>
      </c>
      <c r="I49">
        <f>IF(AND(Inputs!$A26&gt;='Report 3'!$B$3,Inputs!$A26&lt;='Report 3'!$B$4),'Report 2'!I9,-1)</f>
        <v/>
      </c>
      <c r="J49">
        <f>IF(AND(Inputs!$A26&gt;='Report 3'!$B$3,Inputs!$A26&lt;='Report 3'!$B$4),'Report 2'!J9,-1)</f>
        <v/>
      </c>
      <c r="K49">
        <f>IF(AND(Inputs!$A26&gt;='Report 3'!$B$3,Inputs!$A26&lt;='Report 3'!$B$4),'Report 2'!K9,-1)</f>
        <v/>
      </c>
      <c r="L49">
        <f>IF(AND(Inputs!$A26&gt;='Report 3'!$B$3,Inputs!$A26&lt;='Report 3'!$B$4),'Report 2'!L9,-1)</f>
        <v/>
      </c>
      <c r="M49">
        <f>IF(AND(Inputs!$A26&gt;='Report 3'!$B$3,Inputs!$A26&lt;='Report 3'!$B$4),'Report 2'!M9,-1)</f>
        <v/>
      </c>
      <c r="N49">
        <f>IF(AND(Inputs!$A26&gt;='Report 3'!$B$3,Inputs!$A26&lt;='Report 3'!$B$4),'Report 2'!N9,-1)</f>
        <v/>
      </c>
      <c r="O49">
        <f>IF(AND(Inputs!$A26&gt;='Report 3'!$B$3,Inputs!$A26&lt;='Report 3'!$B$4),'Report 2'!O9,-1)</f>
        <v/>
      </c>
      <c r="P49">
        <f>IF(AND(Inputs!$A26&gt;='Report 3'!$B$3,Inputs!$A26&lt;='Report 3'!$B$4),'Report 2'!P9,-1)</f>
        <v/>
      </c>
      <c r="Q49">
        <f>IF(AND(Inputs!$A26&gt;='Report 3'!$B$3,Inputs!$A26&lt;='Report 3'!$B$4),'Report 2'!Q9,-1)</f>
        <v/>
      </c>
      <c r="R49">
        <f>IF(AND(Inputs!$A26&gt;='Report 3'!$B$3,Inputs!$A26&lt;='Report 3'!$B$4),'Report 2'!R9,-1)</f>
        <v/>
      </c>
      <c r="S49">
        <f>IF(AND(Inputs!$A26&gt;='Report 3'!$B$3,Inputs!$A26&lt;='Report 3'!$B$4),'Report 2'!S9,-1)</f>
        <v/>
      </c>
      <c r="T49">
        <f>IF(AND(Inputs!$A26&gt;='Report 3'!$B$3,Inputs!$A26&lt;='Report 3'!$B$4),'Report 2'!T9,-1)</f>
        <v/>
      </c>
    </row>
    <row r="50">
      <c r="A50" s="15">
        <f>Inputs!A27</f>
        <v/>
      </c>
      <c r="B50">
        <f>IF(AND(Inputs!$A27&gt;='Report 3'!$B$3,Inputs!$A27&lt;='Report 3'!$B$4),'Report 2'!B10,-1)</f>
        <v/>
      </c>
      <c r="C50">
        <f>IF(AND(Inputs!$A27&gt;='Report 3'!$B$3,Inputs!$A27&lt;='Report 3'!$B$4),'Report 2'!C10,-1)</f>
        <v/>
      </c>
      <c r="D50">
        <f>IF(AND(Inputs!$A27&gt;='Report 3'!$B$3,Inputs!$A27&lt;='Report 3'!$B$4),'Report 2'!D10,-1)</f>
        <v/>
      </c>
      <c r="E50">
        <f>IF(AND(Inputs!$A27&gt;='Report 3'!$B$3,Inputs!$A27&lt;='Report 3'!$B$4),'Report 2'!E10,-1)</f>
        <v/>
      </c>
      <c r="F50">
        <f>IF(AND(Inputs!$A27&gt;='Report 3'!$B$3,Inputs!$A27&lt;='Report 3'!$B$4),'Report 2'!F10,-1)</f>
        <v/>
      </c>
      <c r="G50">
        <f>IF(AND(Inputs!$A27&gt;='Report 3'!$B$3,Inputs!$A27&lt;='Report 3'!$B$4),'Report 2'!G10,-1)</f>
        <v/>
      </c>
      <c r="H50">
        <f>IF(AND(Inputs!$A27&gt;='Report 3'!$B$3,Inputs!$A27&lt;='Report 3'!$B$4),'Report 2'!H10,-1)</f>
        <v/>
      </c>
      <c r="I50">
        <f>IF(AND(Inputs!$A27&gt;='Report 3'!$B$3,Inputs!$A27&lt;='Report 3'!$B$4),'Report 2'!I10,-1)</f>
        <v/>
      </c>
      <c r="J50">
        <f>IF(AND(Inputs!$A27&gt;='Report 3'!$B$3,Inputs!$A27&lt;='Report 3'!$B$4),'Report 2'!J10,-1)</f>
        <v/>
      </c>
      <c r="K50">
        <f>IF(AND(Inputs!$A27&gt;='Report 3'!$B$3,Inputs!$A27&lt;='Report 3'!$B$4),'Report 2'!K10,-1)</f>
        <v/>
      </c>
      <c r="L50">
        <f>IF(AND(Inputs!$A27&gt;='Report 3'!$B$3,Inputs!$A27&lt;='Report 3'!$B$4),'Report 2'!L10,-1)</f>
        <v/>
      </c>
      <c r="M50">
        <f>IF(AND(Inputs!$A27&gt;='Report 3'!$B$3,Inputs!$A27&lt;='Report 3'!$B$4),'Report 2'!M10,-1)</f>
        <v/>
      </c>
      <c r="N50">
        <f>IF(AND(Inputs!$A27&gt;='Report 3'!$B$3,Inputs!$A27&lt;='Report 3'!$B$4),'Report 2'!N10,-1)</f>
        <v/>
      </c>
      <c r="O50">
        <f>IF(AND(Inputs!$A27&gt;='Report 3'!$B$3,Inputs!$A27&lt;='Report 3'!$B$4),'Report 2'!O10,-1)</f>
        <v/>
      </c>
      <c r="P50">
        <f>IF(AND(Inputs!$A27&gt;='Report 3'!$B$3,Inputs!$A27&lt;='Report 3'!$B$4),'Report 2'!P10,-1)</f>
        <v/>
      </c>
      <c r="Q50">
        <f>IF(AND(Inputs!$A27&gt;='Report 3'!$B$3,Inputs!$A27&lt;='Report 3'!$B$4),'Report 2'!Q10,-1)</f>
        <v/>
      </c>
      <c r="R50">
        <f>IF(AND(Inputs!$A27&gt;='Report 3'!$B$3,Inputs!$A27&lt;='Report 3'!$B$4),'Report 2'!R10,-1)</f>
        <v/>
      </c>
      <c r="S50">
        <f>IF(AND(Inputs!$A27&gt;='Report 3'!$B$3,Inputs!$A27&lt;='Report 3'!$B$4),'Report 2'!S10,-1)</f>
        <v/>
      </c>
      <c r="T50">
        <f>IF(AND(Inputs!$A27&gt;='Report 3'!$B$3,Inputs!$A27&lt;='Report 3'!$B$4),'Report 2'!T10,-1)</f>
        <v/>
      </c>
    </row>
    <row r="51">
      <c r="A51" s="15">
        <f>Inputs!A28</f>
        <v/>
      </c>
      <c r="B51">
        <f>IF(AND(Inputs!$A28&gt;='Report 3'!$B$3,Inputs!$A28&lt;='Report 3'!$B$4),'Report 2'!B11,-1)</f>
        <v/>
      </c>
      <c r="C51">
        <f>IF(AND(Inputs!$A28&gt;='Report 3'!$B$3,Inputs!$A28&lt;='Report 3'!$B$4),'Report 2'!C11,-1)</f>
        <v/>
      </c>
      <c r="D51">
        <f>IF(AND(Inputs!$A28&gt;='Report 3'!$B$3,Inputs!$A28&lt;='Report 3'!$B$4),'Report 2'!D11,-1)</f>
        <v/>
      </c>
      <c r="E51">
        <f>IF(AND(Inputs!$A28&gt;='Report 3'!$B$3,Inputs!$A28&lt;='Report 3'!$B$4),'Report 2'!E11,-1)</f>
        <v/>
      </c>
      <c r="F51">
        <f>IF(AND(Inputs!$A28&gt;='Report 3'!$B$3,Inputs!$A28&lt;='Report 3'!$B$4),'Report 2'!F11,-1)</f>
        <v/>
      </c>
      <c r="G51">
        <f>IF(AND(Inputs!$A28&gt;='Report 3'!$B$3,Inputs!$A28&lt;='Report 3'!$B$4),'Report 2'!G11,-1)</f>
        <v/>
      </c>
      <c r="H51">
        <f>IF(AND(Inputs!$A28&gt;='Report 3'!$B$3,Inputs!$A28&lt;='Report 3'!$B$4),'Report 2'!H11,-1)</f>
        <v/>
      </c>
      <c r="I51">
        <f>IF(AND(Inputs!$A28&gt;='Report 3'!$B$3,Inputs!$A28&lt;='Report 3'!$B$4),'Report 2'!I11,-1)</f>
        <v/>
      </c>
      <c r="J51">
        <f>IF(AND(Inputs!$A28&gt;='Report 3'!$B$3,Inputs!$A28&lt;='Report 3'!$B$4),'Report 2'!J11,-1)</f>
        <v/>
      </c>
      <c r="K51">
        <f>IF(AND(Inputs!$A28&gt;='Report 3'!$B$3,Inputs!$A28&lt;='Report 3'!$B$4),'Report 2'!K11,-1)</f>
        <v/>
      </c>
      <c r="L51">
        <f>IF(AND(Inputs!$A28&gt;='Report 3'!$B$3,Inputs!$A28&lt;='Report 3'!$B$4),'Report 2'!L11,-1)</f>
        <v/>
      </c>
      <c r="M51">
        <f>IF(AND(Inputs!$A28&gt;='Report 3'!$B$3,Inputs!$A28&lt;='Report 3'!$B$4),'Report 2'!M11,-1)</f>
        <v/>
      </c>
      <c r="N51">
        <f>IF(AND(Inputs!$A28&gt;='Report 3'!$B$3,Inputs!$A28&lt;='Report 3'!$B$4),'Report 2'!N11,-1)</f>
        <v/>
      </c>
      <c r="O51">
        <f>IF(AND(Inputs!$A28&gt;='Report 3'!$B$3,Inputs!$A28&lt;='Report 3'!$B$4),'Report 2'!O11,-1)</f>
        <v/>
      </c>
      <c r="P51">
        <f>IF(AND(Inputs!$A28&gt;='Report 3'!$B$3,Inputs!$A28&lt;='Report 3'!$B$4),'Report 2'!P11,-1)</f>
        <v/>
      </c>
      <c r="Q51">
        <f>IF(AND(Inputs!$A28&gt;='Report 3'!$B$3,Inputs!$A28&lt;='Report 3'!$B$4),'Report 2'!Q11,-1)</f>
        <v/>
      </c>
      <c r="R51">
        <f>IF(AND(Inputs!$A28&gt;='Report 3'!$B$3,Inputs!$A28&lt;='Report 3'!$B$4),'Report 2'!R11,-1)</f>
        <v/>
      </c>
      <c r="S51">
        <f>IF(AND(Inputs!$A28&gt;='Report 3'!$B$3,Inputs!$A28&lt;='Report 3'!$B$4),'Report 2'!S11,-1)</f>
        <v/>
      </c>
      <c r="T51">
        <f>IF(AND(Inputs!$A28&gt;='Report 3'!$B$3,Inputs!$A28&lt;='Report 3'!$B$4),'Report 2'!T11,-1)</f>
        <v/>
      </c>
    </row>
    <row r="52">
      <c r="A52" s="15">
        <f>Inputs!A29</f>
        <v/>
      </c>
      <c r="B52">
        <f>IF(AND(Inputs!$A29&gt;='Report 3'!$B$3,Inputs!$A29&lt;='Report 3'!$B$4),'Report 2'!B12,-1)</f>
        <v/>
      </c>
      <c r="C52">
        <f>IF(AND(Inputs!$A29&gt;='Report 3'!$B$3,Inputs!$A29&lt;='Report 3'!$B$4),'Report 2'!C12,-1)</f>
        <v/>
      </c>
      <c r="D52">
        <f>IF(AND(Inputs!$A29&gt;='Report 3'!$B$3,Inputs!$A29&lt;='Report 3'!$B$4),'Report 2'!D12,-1)</f>
        <v/>
      </c>
      <c r="E52">
        <f>IF(AND(Inputs!$A29&gt;='Report 3'!$B$3,Inputs!$A29&lt;='Report 3'!$B$4),'Report 2'!E12,-1)</f>
        <v/>
      </c>
      <c r="F52">
        <f>IF(AND(Inputs!$A29&gt;='Report 3'!$B$3,Inputs!$A29&lt;='Report 3'!$B$4),'Report 2'!F12,-1)</f>
        <v/>
      </c>
      <c r="G52">
        <f>IF(AND(Inputs!$A29&gt;='Report 3'!$B$3,Inputs!$A29&lt;='Report 3'!$B$4),'Report 2'!G12,-1)</f>
        <v/>
      </c>
      <c r="H52">
        <f>IF(AND(Inputs!$A29&gt;='Report 3'!$B$3,Inputs!$A29&lt;='Report 3'!$B$4),'Report 2'!H12,-1)</f>
        <v/>
      </c>
      <c r="I52">
        <f>IF(AND(Inputs!$A29&gt;='Report 3'!$B$3,Inputs!$A29&lt;='Report 3'!$B$4),'Report 2'!I12,-1)</f>
        <v/>
      </c>
      <c r="J52">
        <f>IF(AND(Inputs!$A29&gt;='Report 3'!$B$3,Inputs!$A29&lt;='Report 3'!$B$4),'Report 2'!J12,-1)</f>
        <v/>
      </c>
      <c r="K52">
        <f>IF(AND(Inputs!$A29&gt;='Report 3'!$B$3,Inputs!$A29&lt;='Report 3'!$B$4),'Report 2'!K12,-1)</f>
        <v/>
      </c>
      <c r="L52">
        <f>IF(AND(Inputs!$A29&gt;='Report 3'!$B$3,Inputs!$A29&lt;='Report 3'!$B$4),'Report 2'!L12,-1)</f>
        <v/>
      </c>
      <c r="M52">
        <f>IF(AND(Inputs!$A29&gt;='Report 3'!$B$3,Inputs!$A29&lt;='Report 3'!$B$4),'Report 2'!M12,-1)</f>
        <v/>
      </c>
      <c r="N52">
        <f>IF(AND(Inputs!$A29&gt;='Report 3'!$B$3,Inputs!$A29&lt;='Report 3'!$B$4),'Report 2'!N12,-1)</f>
        <v/>
      </c>
      <c r="O52">
        <f>IF(AND(Inputs!$A29&gt;='Report 3'!$B$3,Inputs!$A29&lt;='Report 3'!$B$4),'Report 2'!O12,-1)</f>
        <v/>
      </c>
      <c r="P52">
        <f>IF(AND(Inputs!$A29&gt;='Report 3'!$B$3,Inputs!$A29&lt;='Report 3'!$B$4),'Report 2'!P12,-1)</f>
        <v/>
      </c>
      <c r="Q52">
        <f>IF(AND(Inputs!$A29&gt;='Report 3'!$B$3,Inputs!$A29&lt;='Report 3'!$B$4),'Report 2'!Q12,-1)</f>
        <v/>
      </c>
      <c r="R52">
        <f>IF(AND(Inputs!$A29&gt;='Report 3'!$B$3,Inputs!$A29&lt;='Report 3'!$B$4),'Report 2'!R12,-1)</f>
        <v/>
      </c>
      <c r="S52">
        <f>IF(AND(Inputs!$A29&gt;='Report 3'!$B$3,Inputs!$A29&lt;='Report 3'!$B$4),'Report 2'!S12,-1)</f>
        <v/>
      </c>
      <c r="T52">
        <f>IF(AND(Inputs!$A29&gt;='Report 3'!$B$3,Inputs!$A29&lt;='Report 3'!$B$4),'Report 2'!T12,-1)</f>
        <v/>
      </c>
    </row>
    <row r="53">
      <c r="A53" s="15">
        <f>Inputs!A30</f>
        <v/>
      </c>
      <c r="B53">
        <f>IF(AND(Inputs!$A30&gt;='Report 3'!$B$3,Inputs!$A30&lt;='Report 3'!$B$4),'Report 2'!B13,-1)</f>
        <v/>
      </c>
      <c r="C53">
        <f>IF(AND(Inputs!$A30&gt;='Report 3'!$B$3,Inputs!$A30&lt;='Report 3'!$B$4),'Report 2'!C13,-1)</f>
        <v/>
      </c>
      <c r="D53">
        <f>IF(AND(Inputs!$A30&gt;='Report 3'!$B$3,Inputs!$A30&lt;='Report 3'!$B$4),'Report 2'!D13,-1)</f>
        <v/>
      </c>
      <c r="E53">
        <f>IF(AND(Inputs!$A30&gt;='Report 3'!$B$3,Inputs!$A30&lt;='Report 3'!$B$4),'Report 2'!E13,-1)</f>
        <v/>
      </c>
      <c r="F53">
        <f>IF(AND(Inputs!$A30&gt;='Report 3'!$B$3,Inputs!$A30&lt;='Report 3'!$B$4),'Report 2'!F13,-1)</f>
        <v/>
      </c>
      <c r="G53">
        <f>IF(AND(Inputs!$A30&gt;='Report 3'!$B$3,Inputs!$A30&lt;='Report 3'!$B$4),'Report 2'!G13,-1)</f>
        <v/>
      </c>
      <c r="H53">
        <f>IF(AND(Inputs!$A30&gt;='Report 3'!$B$3,Inputs!$A30&lt;='Report 3'!$B$4),'Report 2'!H13,-1)</f>
        <v/>
      </c>
      <c r="I53">
        <f>IF(AND(Inputs!$A30&gt;='Report 3'!$B$3,Inputs!$A30&lt;='Report 3'!$B$4),'Report 2'!I13,-1)</f>
        <v/>
      </c>
      <c r="J53">
        <f>IF(AND(Inputs!$A30&gt;='Report 3'!$B$3,Inputs!$A30&lt;='Report 3'!$B$4),'Report 2'!J13,-1)</f>
        <v/>
      </c>
      <c r="K53">
        <f>IF(AND(Inputs!$A30&gt;='Report 3'!$B$3,Inputs!$A30&lt;='Report 3'!$B$4),'Report 2'!K13,-1)</f>
        <v/>
      </c>
      <c r="L53">
        <f>IF(AND(Inputs!$A30&gt;='Report 3'!$B$3,Inputs!$A30&lt;='Report 3'!$B$4),'Report 2'!L13,-1)</f>
        <v/>
      </c>
      <c r="M53">
        <f>IF(AND(Inputs!$A30&gt;='Report 3'!$B$3,Inputs!$A30&lt;='Report 3'!$B$4),'Report 2'!M13,-1)</f>
        <v/>
      </c>
      <c r="N53">
        <f>IF(AND(Inputs!$A30&gt;='Report 3'!$B$3,Inputs!$A30&lt;='Report 3'!$B$4),'Report 2'!N13,-1)</f>
        <v/>
      </c>
      <c r="O53">
        <f>IF(AND(Inputs!$A30&gt;='Report 3'!$B$3,Inputs!$A30&lt;='Report 3'!$B$4),'Report 2'!O13,-1)</f>
        <v/>
      </c>
      <c r="P53">
        <f>IF(AND(Inputs!$A30&gt;='Report 3'!$B$3,Inputs!$A30&lt;='Report 3'!$B$4),'Report 2'!P13,-1)</f>
        <v/>
      </c>
      <c r="Q53">
        <f>IF(AND(Inputs!$A30&gt;='Report 3'!$B$3,Inputs!$A30&lt;='Report 3'!$B$4),'Report 2'!Q13,-1)</f>
        <v/>
      </c>
      <c r="R53">
        <f>IF(AND(Inputs!$A30&gt;='Report 3'!$B$3,Inputs!$A30&lt;='Report 3'!$B$4),'Report 2'!R13,-1)</f>
        <v/>
      </c>
      <c r="S53">
        <f>IF(AND(Inputs!$A30&gt;='Report 3'!$B$3,Inputs!$A30&lt;='Report 3'!$B$4),'Report 2'!S13,-1)</f>
        <v/>
      </c>
      <c r="T53">
        <f>IF(AND(Inputs!$A30&gt;='Report 3'!$B$3,Inputs!$A30&lt;='Report 3'!$B$4),'Report 2'!T13,-1)</f>
        <v/>
      </c>
    </row>
    <row r="54">
      <c r="A54" s="15">
        <f>Inputs!A31</f>
        <v/>
      </c>
      <c r="B54">
        <f>IF(AND(Inputs!$A31&gt;='Report 3'!$B$3,Inputs!$A31&lt;='Report 3'!$B$4),'Report 2'!B14,-1)</f>
        <v/>
      </c>
      <c r="C54">
        <f>IF(AND(Inputs!$A31&gt;='Report 3'!$B$3,Inputs!$A31&lt;='Report 3'!$B$4),'Report 2'!C14,-1)</f>
        <v/>
      </c>
      <c r="D54">
        <f>IF(AND(Inputs!$A31&gt;='Report 3'!$B$3,Inputs!$A31&lt;='Report 3'!$B$4),'Report 2'!D14,-1)</f>
        <v/>
      </c>
      <c r="E54">
        <f>IF(AND(Inputs!$A31&gt;='Report 3'!$B$3,Inputs!$A31&lt;='Report 3'!$B$4),'Report 2'!E14,-1)</f>
        <v/>
      </c>
      <c r="F54">
        <f>IF(AND(Inputs!$A31&gt;='Report 3'!$B$3,Inputs!$A31&lt;='Report 3'!$B$4),'Report 2'!F14,-1)</f>
        <v/>
      </c>
      <c r="G54">
        <f>IF(AND(Inputs!$A31&gt;='Report 3'!$B$3,Inputs!$A31&lt;='Report 3'!$B$4),'Report 2'!G14,-1)</f>
        <v/>
      </c>
      <c r="H54">
        <f>IF(AND(Inputs!$A31&gt;='Report 3'!$B$3,Inputs!$A31&lt;='Report 3'!$B$4),'Report 2'!H14,-1)</f>
        <v/>
      </c>
      <c r="I54">
        <f>IF(AND(Inputs!$A31&gt;='Report 3'!$B$3,Inputs!$A31&lt;='Report 3'!$B$4),'Report 2'!I14,-1)</f>
        <v/>
      </c>
      <c r="J54">
        <f>IF(AND(Inputs!$A31&gt;='Report 3'!$B$3,Inputs!$A31&lt;='Report 3'!$B$4),'Report 2'!J14,-1)</f>
        <v/>
      </c>
      <c r="K54">
        <f>IF(AND(Inputs!$A31&gt;='Report 3'!$B$3,Inputs!$A31&lt;='Report 3'!$B$4),'Report 2'!K14,-1)</f>
        <v/>
      </c>
      <c r="L54">
        <f>IF(AND(Inputs!$A31&gt;='Report 3'!$B$3,Inputs!$A31&lt;='Report 3'!$B$4),'Report 2'!L14,-1)</f>
        <v/>
      </c>
      <c r="M54">
        <f>IF(AND(Inputs!$A31&gt;='Report 3'!$B$3,Inputs!$A31&lt;='Report 3'!$B$4),'Report 2'!M14,-1)</f>
        <v/>
      </c>
      <c r="N54">
        <f>IF(AND(Inputs!$A31&gt;='Report 3'!$B$3,Inputs!$A31&lt;='Report 3'!$B$4),'Report 2'!N14,-1)</f>
        <v/>
      </c>
      <c r="O54">
        <f>IF(AND(Inputs!$A31&gt;='Report 3'!$B$3,Inputs!$A31&lt;='Report 3'!$B$4),'Report 2'!O14,-1)</f>
        <v/>
      </c>
      <c r="P54">
        <f>IF(AND(Inputs!$A31&gt;='Report 3'!$B$3,Inputs!$A31&lt;='Report 3'!$B$4),'Report 2'!P14,-1)</f>
        <v/>
      </c>
      <c r="Q54">
        <f>IF(AND(Inputs!$A31&gt;='Report 3'!$B$3,Inputs!$A31&lt;='Report 3'!$B$4),'Report 2'!Q14,-1)</f>
        <v/>
      </c>
      <c r="R54">
        <f>IF(AND(Inputs!$A31&gt;='Report 3'!$B$3,Inputs!$A31&lt;='Report 3'!$B$4),'Report 2'!R14,-1)</f>
        <v/>
      </c>
      <c r="S54">
        <f>IF(AND(Inputs!$A31&gt;='Report 3'!$B$3,Inputs!$A31&lt;='Report 3'!$B$4),'Report 2'!S14,-1)</f>
        <v/>
      </c>
      <c r="T54">
        <f>IF(AND(Inputs!$A31&gt;='Report 3'!$B$3,Inputs!$A31&lt;='Report 3'!$B$4),'Report 2'!T14,-1)</f>
        <v/>
      </c>
    </row>
    <row r="55">
      <c r="A55" s="15">
        <f>Inputs!A32</f>
        <v/>
      </c>
      <c r="B55">
        <f>IF(AND(Inputs!$A32&gt;='Report 3'!$B$3,Inputs!$A32&lt;='Report 3'!$B$4),'Report 2'!B15,-1)</f>
        <v/>
      </c>
      <c r="C55">
        <f>IF(AND(Inputs!$A32&gt;='Report 3'!$B$3,Inputs!$A32&lt;='Report 3'!$B$4),'Report 2'!C15,-1)</f>
        <v/>
      </c>
      <c r="D55">
        <f>IF(AND(Inputs!$A32&gt;='Report 3'!$B$3,Inputs!$A32&lt;='Report 3'!$B$4),'Report 2'!D15,-1)</f>
        <v/>
      </c>
      <c r="E55">
        <f>IF(AND(Inputs!$A32&gt;='Report 3'!$B$3,Inputs!$A32&lt;='Report 3'!$B$4),'Report 2'!E15,-1)</f>
        <v/>
      </c>
      <c r="F55">
        <f>IF(AND(Inputs!$A32&gt;='Report 3'!$B$3,Inputs!$A32&lt;='Report 3'!$B$4),'Report 2'!F15,-1)</f>
        <v/>
      </c>
      <c r="G55">
        <f>IF(AND(Inputs!$A32&gt;='Report 3'!$B$3,Inputs!$A32&lt;='Report 3'!$B$4),'Report 2'!G15,-1)</f>
        <v/>
      </c>
      <c r="H55">
        <f>IF(AND(Inputs!$A32&gt;='Report 3'!$B$3,Inputs!$A32&lt;='Report 3'!$B$4),'Report 2'!H15,-1)</f>
        <v/>
      </c>
      <c r="I55">
        <f>IF(AND(Inputs!$A32&gt;='Report 3'!$B$3,Inputs!$A32&lt;='Report 3'!$B$4),'Report 2'!I15,-1)</f>
        <v/>
      </c>
      <c r="J55">
        <f>IF(AND(Inputs!$A32&gt;='Report 3'!$B$3,Inputs!$A32&lt;='Report 3'!$B$4),'Report 2'!J15,-1)</f>
        <v/>
      </c>
      <c r="K55">
        <f>IF(AND(Inputs!$A32&gt;='Report 3'!$B$3,Inputs!$A32&lt;='Report 3'!$B$4),'Report 2'!K15,-1)</f>
        <v/>
      </c>
      <c r="L55">
        <f>IF(AND(Inputs!$A32&gt;='Report 3'!$B$3,Inputs!$A32&lt;='Report 3'!$B$4),'Report 2'!L15,-1)</f>
        <v/>
      </c>
      <c r="M55">
        <f>IF(AND(Inputs!$A32&gt;='Report 3'!$B$3,Inputs!$A32&lt;='Report 3'!$B$4),'Report 2'!M15,-1)</f>
        <v/>
      </c>
      <c r="N55">
        <f>IF(AND(Inputs!$A32&gt;='Report 3'!$B$3,Inputs!$A32&lt;='Report 3'!$B$4),'Report 2'!N15,-1)</f>
        <v/>
      </c>
      <c r="O55">
        <f>IF(AND(Inputs!$A32&gt;='Report 3'!$B$3,Inputs!$A32&lt;='Report 3'!$B$4),'Report 2'!O15,-1)</f>
        <v/>
      </c>
      <c r="P55">
        <f>IF(AND(Inputs!$A32&gt;='Report 3'!$B$3,Inputs!$A32&lt;='Report 3'!$B$4),'Report 2'!P15,-1)</f>
        <v/>
      </c>
      <c r="Q55">
        <f>IF(AND(Inputs!$A32&gt;='Report 3'!$B$3,Inputs!$A32&lt;='Report 3'!$B$4),'Report 2'!Q15,-1)</f>
        <v/>
      </c>
      <c r="R55">
        <f>IF(AND(Inputs!$A32&gt;='Report 3'!$B$3,Inputs!$A32&lt;='Report 3'!$B$4),'Report 2'!R15,-1)</f>
        <v/>
      </c>
      <c r="S55">
        <f>IF(AND(Inputs!$A32&gt;='Report 3'!$B$3,Inputs!$A32&lt;='Report 3'!$B$4),'Report 2'!S15,-1)</f>
        <v/>
      </c>
      <c r="T55">
        <f>IF(AND(Inputs!$A32&gt;='Report 3'!$B$3,Inputs!$A32&lt;='Report 3'!$B$4),'Report 2'!T15,-1)</f>
        <v/>
      </c>
    </row>
    <row r="56">
      <c r="A56" s="15">
        <f>Inputs!A33</f>
        <v/>
      </c>
      <c r="B56">
        <f>IF(AND(Inputs!$A33&gt;='Report 3'!$B$3,Inputs!$A33&lt;='Report 3'!$B$4),'Report 2'!B16,-1)</f>
        <v/>
      </c>
      <c r="C56">
        <f>IF(AND(Inputs!$A33&gt;='Report 3'!$B$3,Inputs!$A33&lt;='Report 3'!$B$4),'Report 2'!C16,-1)</f>
        <v/>
      </c>
      <c r="D56">
        <f>IF(AND(Inputs!$A33&gt;='Report 3'!$B$3,Inputs!$A33&lt;='Report 3'!$B$4),'Report 2'!D16,-1)</f>
        <v/>
      </c>
      <c r="E56">
        <f>IF(AND(Inputs!$A33&gt;='Report 3'!$B$3,Inputs!$A33&lt;='Report 3'!$B$4),'Report 2'!E16,-1)</f>
        <v/>
      </c>
      <c r="F56">
        <f>IF(AND(Inputs!$A33&gt;='Report 3'!$B$3,Inputs!$A33&lt;='Report 3'!$B$4),'Report 2'!F16,-1)</f>
        <v/>
      </c>
      <c r="G56">
        <f>IF(AND(Inputs!$A33&gt;='Report 3'!$B$3,Inputs!$A33&lt;='Report 3'!$B$4),'Report 2'!G16,-1)</f>
        <v/>
      </c>
      <c r="H56">
        <f>IF(AND(Inputs!$A33&gt;='Report 3'!$B$3,Inputs!$A33&lt;='Report 3'!$B$4),'Report 2'!H16,-1)</f>
        <v/>
      </c>
      <c r="I56">
        <f>IF(AND(Inputs!$A33&gt;='Report 3'!$B$3,Inputs!$A33&lt;='Report 3'!$B$4),'Report 2'!I16,-1)</f>
        <v/>
      </c>
      <c r="J56">
        <f>IF(AND(Inputs!$A33&gt;='Report 3'!$B$3,Inputs!$A33&lt;='Report 3'!$B$4),'Report 2'!J16,-1)</f>
        <v/>
      </c>
      <c r="K56">
        <f>IF(AND(Inputs!$A33&gt;='Report 3'!$B$3,Inputs!$A33&lt;='Report 3'!$B$4),'Report 2'!K16,-1)</f>
        <v/>
      </c>
      <c r="L56">
        <f>IF(AND(Inputs!$A33&gt;='Report 3'!$B$3,Inputs!$A33&lt;='Report 3'!$B$4),'Report 2'!L16,-1)</f>
        <v/>
      </c>
      <c r="M56">
        <f>IF(AND(Inputs!$A33&gt;='Report 3'!$B$3,Inputs!$A33&lt;='Report 3'!$B$4),'Report 2'!M16,-1)</f>
        <v/>
      </c>
      <c r="N56">
        <f>IF(AND(Inputs!$A33&gt;='Report 3'!$B$3,Inputs!$A33&lt;='Report 3'!$B$4),'Report 2'!N16,-1)</f>
        <v/>
      </c>
      <c r="O56">
        <f>IF(AND(Inputs!$A33&gt;='Report 3'!$B$3,Inputs!$A33&lt;='Report 3'!$B$4),'Report 2'!O16,-1)</f>
        <v/>
      </c>
      <c r="P56">
        <f>IF(AND(Inputs!$A33&gt;='Report 3'!$B$3,Inputs!$A33&lt;='Report 3'!$B$4),'Report 2'!P16,-1)</f>
        <v/>
      </c>
      <c r="Q56">
        <f>IF(AND(Inputs!$A33&gt;='Report 3'!$B$3,Inputs!$A33&lt;='Report 3'!$B$4),'Report 2'!Q16,-1)</f>
        <v/>
      </c>
      <c r="R56">
        <f>IF(AND(Inputs!$A33&gt;='Report 3'!$B$3,Inputs!$A33&lt;='Report 3'!$B$4),'Report 2'!R16,-1)</f>
        <v/>
      </c>
      <c r="S56">
        <f>IF(AND(Inputs!$A33&gt;='Report 3'!$B$3,Inputs!$A33&lt;='Report 3'!$B$4),'Report 2'!S16,-1)</f>
        <v/>
      </c>
      <c r="T56">
        <f>IF(AND(Inputs!$A33&gt;='Report 3'!$B$3,Inputs!$A33&lt;='Report 3'!$B$4),'Report 2'!T16,-1)</f>
        <v/>
      </c>
    </row>
    <row r="57">
      <c r="A57" s="15">
        <f>Inputs!A34</f>
        <v/>
      </c>
      <c r="B57">
        <f>IF(AND(Inputs!$A34&gt;='Report 3'!$B$3,Inputs!$A34&lt;='Report 3'!$B$4),'Report 2'!B17,-1)</f>
        <v/>
      </c>
      <c r="C57">
        <f>IF(AND(Inputs!$A34&gt;='Report 3'!$B$3,Inputs!$A34&lt;='Report 3'!$B$4),'Report 2'!C17,-1)</f>
        <v/>
      </c>
      <c r="D57">
        <f>IF(AND(Inputs!$A34&gt;='Report 3'!$B$3,Inputs!$A34&lt;='Report 3'!$B$4),'Report 2'!D17,-1)</f>
        <v/>
      </c>
      <c r="E57">
        <f>IF(AND(Inputs!$A34&gt;='Report 3'!$B$3,Inputs!$A34&lt;='Report 3'!$B$4),'Report 2'!E17,-1)</f>
        <v/>
      </c>
      <c r="F57">
        <f>IF(AND(Inputs!$A34&gt;='Report 3'!$B$3,Inputs!$A34&lt;='Report 3'!$B$4),'Report 2'!F17,-1)</f>
        <v/>
      </c>
      <c r="G57">
        <f>IF(AND(Inputs!$A34&gt;='Report 3'!$B$3,Inputs!$A34&lt;='Report 3'!$B$4),'Report 2'!G17,-1)</f>
        <v/>
      </c>
      <c r="H57">
        <f>IF(AND(Inputs!$A34&gt;='Report 3'!$B$3,Inputs!$A34&lt;='Report 3'!$B$4),'Report 2'!H17,-1)</f>
        <v/>
      </c>
      <c r="I57">
        <f>IF(AND(Inputs!$A34&gt;='Report 3'!$B$3,Inputs!$A34&lt;='Report 3'!$B$4),'Report 2'!I17,-1)</f>
        <v/>
      </c>
      <c r="J57">
        <f>IF(AND(Inputs!$A34&gt;='Report 3'!$B$3,Inputs!$A34&lt;='Report 3'!$B$4),'Report 2'!J17,-1)</f>
        <v/>
      </c>
      <c r="K57">
        <f>IF(AND(Inputs!$A34&gt;='Report 3'!$B$3,Inputs!$A34&lt;='Report 3'!$B$4),'Report 2'!K17,-1)</f>
        <v/>
      </c>
      <c r="L57">
        <f>IF(AND(Inputs!$A34&gt;='Report 3'!$B$3,Inputs!$A34&lt;='Report 3'!$B$4),'Report 2'!L17,-1)</f>
        <v/>
      </c>
      <c r="M57">
        <f>IF(AND(Inputs!$A34&gt;='Report 3'!$B$3,Inputs!$A34&lt;='Report 3'!$B$4),'Report 2'!M17,-1)</f>
        <v/>
      </c>
      <c r="N57">
        <f>IF(AND(Inputs!$A34&gt;='Report 3'!$B$3,Inputs!$A34&lt;='Report 3'!$B$4),'Report 2'!N17,-1)</f>
        <v/>
      </c>
      <c r="O57">
        <f>IF(AND(Inputs!$A34&gt;='Report 3'!$B$3,Inputs!$A34&lt;='Report 3'!$B$4),'Report 2'!O17,-1)</f>
        <v/>
      </c>
      <c r="P57">
        <f>IF(AND(Inputs!$A34&gt;='Report 3'!$B$3,Inputs!$A34&lt;='Report 3'!$B$4),'Report 2'!P17,-1)</f>
        <v/>
      </c>
      <c r="Q57">
        <f>IF(AND(Inputs!$A34&gt;='Report 3'!$B$3,Inputs!$A34&lt;='Report 3'!$B$4),'Report 2'!Q17,-1)</f>
        <v/>
      </c>
      <c r="R57">
        <f>IF(AND(Inputs!$A34&gt;='Report 3'!$B$3,Inputs!$A34&lt;='Report 3'!$B$4),'Report 2'!R17,-1)</f>
        <v/>
      </c>
      <c r="S57">
        <f>IF(AND(Inputs!$A34&gt;='Report 3'!$B$3,Inputs!$A34&lt;='Report 3'!$B$4),'Report 2'!S17,-1)</f>
        <v/>
      </c>
      <c r="T57">
        <f>IF(AND(Inputs!$A34&gt;='Report 3'!$B$3,Inputs!$A34&lt;='Report 3'!$B$4),'Report 2'!T17,-1)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Report 2 – Percentage of credit notes per order type, by month</t>
        </is>
      </c>
    </row>
    <row r="2">
      <c r="A2" s="2" t="inlineStr">
        <is>
          <t>Each month adds up to 100%. Darker colour = bigger share. 'Unknown' excluded.</t>
        </is>
      </c>
    </row>
    <row r="3">
      <c r="W3" s="5" t="inlineStr">
        <is>
          <t>Chart data (auto: top 7 order types by average share)</t>
        </is>
      </c>
    </row>
    <row r="4" ht="45" customHeight="1">
      <c r="A4" s="6" t="inlineStr">
        <is>
          <t>Month</t>
        </is>
      </c>
      <c r="B4" s="6">
        <f>Inputs!B21</f>
        <v/>
      </c>
      <c r="C4" s="6">
        <f>Inputs!C21</f>
        <v/>
      </c>
      <c r="D4" s="6">
        <f>Inputs!D21</f>
        <v/>
      </c>
      <c r="E4" s="6">
        <f>Inputs!E21</f>
        <v/>
      </c>
      <c r="F4" s="6">
        <f>Inputs!F21</f>
        <v/>
      </c>
      <c r="G4" s="6">
        <f>Inputs!G21</f>
        <v/>
      </c>
      <c r="H4" s="6">
        <f>Inputs!H21</f>
        <v/>
      </c>
      <c r="I4" s="6">
        <f>Inputs!I21</f>
        <v/>
      </c>
      <c r="J4" s="6">
        <f>Inputs!J21</f>
        <v/>
      </c>
      <c r="K4" s="6">
        <f>Inputs!K21</f>
        <v/>
      </c>
      <c r="L4" s="6">
        <f>Inputs!L21</f>
        <v/>
      </c>
      <c r="M4" s="6">
        <f>Inputs!M21</f>
        <v/>
      </c>
      <c r="N4" s="6">
        <f>Inputs!N21</f>
        <v/>
      </c>
      <c r="O4" s="6">
        <f>Inputs!O21</f>
        <v/>
      </c>
      <c r="P4" s="6">
        <f>Inputs!P21</f>
        <v/>
      </c>
      <c r="Q4" s="6">
        <f>Inputs!Q21</f>
        <v/>
      </c>
      <c r="R4" s="6">
        <f>Inputs!R21</f>
        <v/>
      </c>
      <c r="S4" s="6">
        <f>Inputs!S21</f>
        <v/>
      </c>
      <c r="T4" s="6">
        <f>Inputs!T21</f>
        <v/>
      </c>
      <c r="W4" s="6" t="inlineStr">
        <is>
          <t>Month</t>
        </is>
      </c>
      <c r="X4" s="6">
        <f>INDEX('Report 2'!$B$4:$T$4,MATCH(LARGE(Calc!$B$18:$T$18,1),Calc!$B$18:$T$18,0))</f>
        <v/>
      </c>
      <c r="Y4" s="6">
        <f>INDEX('Report 2'!$B$4:$T$4,MATCH(LARGE(Calc!$B$18:$T$18,2),Calc!$B$18:$T$18,0))</f>
        <v/>
      </c>
      <c r="Z4" s="6">
        <f>INDEX('Report 2'!$B$4:$T$4,MATCH(LARGE(Calc!$B$18:$T$18,3),Calc!$B$18:$T$18,0))</f>
        <v/>
      </c>
      <c r="AA4" s="6">
        <f>INDEX('Report 2'!$B$4:$T$4,MATCH(LARGE(Calc!$B$18:$T$18,4),Calc!$B$18:$T$18,0))</f>
        <v/>
      </c>
      <c r="AB4" s="6">
        <f>INDEX('Report 2'!$B$4:$T$4,MATCH(LARGE(Calc!$B$18:$T$18,5),Calc!$B$18:$T$18,0))</f>
        <v/>
      </c>
      <c r="AC4" s="6">
        <f>INDEX('Report 2'!$B$4:$T$4,MATCH(LARGE(Calc!$B$18:$T$18,6),Calc!$B$18:$T$18,0))</f>
        <v/>
      </c>
      <c r="AD4" s="6">
        <f>INDEX('Report 2'!$B$4:$T$4,MATCH(LARGE(Calc!$B$18:$T$18,7),Calc!$B$18:$T$18,0))</f>
        <v/>
      </c>
      <c r="AE4" s="6" t="inlineStr">
        <is>
          <t>All other types</t>
        </is>
      </c>
    </row>
    <row r="5">
      <c r="A5" s="9">
        <f>Inputs!A22</f>
        <v/>
      </c>
      <c r="B5" s="16">
        <f>IFERROR(Inputs!B22/Inputs!$U22,0)</f>
        <v/>
      </c>
      <c r="C5" s="16">
        <f>IFERROR(Inputs!C22/Inputs!$U22,0)</f>
        <v/>
      </c>
      <c r="D5" s="16">
        <f>IFERROR(Inputs!D22/Inputs!$U22,0)</f>
        <v/>
      </c>
      <c r="E5" s="16">
        <f>IFERROR(Inputs!E22/Inputs!$U22,0)</f>
        <v/>
      </c>
      <c r="F5" s="16">
        <f>IFERROR(Inputs!F22/Inputs!$U22,0)</f>
        <v/>
      </c>
      <c r="G5" s="16">
        <f>IFERROR(Inputs!G22/Inputs!$U22,0)</f>
        <v/>
      </c>
      <c r="H5" s="16">
        <f>IFERROR(Inputs!H22/Inputs!$U22,0)</f>
        <v/>
      </c>
      <c r="I5" s="16">
        <f>IFERROR(Inputs!I22/Inputs!$U22,0)</f>
        <v/>
      </c>
      <c r="J5" s="16">
        <f>IFERROR(Inputs!J22/Inputs!$U22,0)</f>
        <v/>
      </c>
      <c r="K5" s="16">
        <f>IFERROR(Inputs!K22/Inputs!$U22,0)</f>
        <v/>
      </c>
      <c r="L5" s="16">
        <f>IFERROR(Inputs!L22/Inputs!$U22,0)</f>
        <v/>
      </c>
      <c r="M5" s="16">
        <f>IFERROR(Inputs!M22/Inputs!$U22,0)</f>
        <v/>
      </c>
      <c r="N5" s="16">
        <f>IFERROR(Inputs!N22/Inputs!$U22,0)</f>
        <v/>
      </c>
      <c r="O5" s="16">
        <f>IFERROR(Inputs!O22/Inputs!$U22,0)</f>
        <v/>
      </c>
      <c r="P5" s="16">
        <f>IFERROR(Inputs!P22/Inputs!$U22,0)</f>
        <v/>
      </c>
      <c r="Q5" s="16">
        <f>IFERROR(Inputs!Q22/Inputs!$U22,0)</f>
        <v/>
      </c>
      <c r="R5" s="16">
        <f>IFERROR(Inputs!R22/Inputs!$U22,0)</f>
        <v/>
      </c>
      <c r="S5" s="16">
        <f>IFERROR(Inputs!S22/Inputs!$U22,0)</f>
        <v/>
      </c>
      <c r="T5" s="16">
        <f>IFERROR(Inputs!T22/Inputs!$U22,0)</f>
        <v/>
      </c>
      <c r="W5" s="9">
        <f>A5</f>
        <v/>
      </c>
      <c r="X5" s="16">
        <f>INDEX($B5:$T5,MATCH(X$4,$B$4:$T$4,0))</f>
        <v/>
      </c>
      <c r="Y5" s="16">
        <f>INDEX($B5:$T5,MATCH(Y$4,$B$4:$T$4,0))</f>
        <v/>
      </c>
      <c r="Z5" s="16">
        <f>INDEX($B5:$T5,MATCH(Z$4,$B$4:$T$4,0))</f>
        <v/>
      </c>
      <c r="AA5" s="16">
        <f>INDEX($B5:$T5,MATCH(AA$4,$B$4:$T$4,0))</f>
        <v/>
      </c>
      <c r="AB5" s="16">
        <f>INDEX($B5:$T5,MATCH(AB$4,$B$4:$T$4,0))</f>
        <v/>
      </c>
      <c r="AC5" s="16">
        <f>INDEX($B5:$T5,MATCH(AC$4,$B$4:$T$4,0))</f>
        <v/>
      </c>
      <c r="AD5" s="16">
        <f>INDEX($B5:$T5,MATCH(AD$4,$B$4:$T$4,0))</f>
        <v/>
      </c>
      <c r="AE5" s="16">
        <f>MAX(0,1-SUM(X5:AD5))</f>
        <v/>
      </c>
    </row>
    <row r="6">
      <c r="A6" s="9">
        <f>Inputs!A23</f>
        <v/>
      </c>
      <c r="B6" s="16">
        <f>IFERROR(Inputs!B23/Inputs!$U23,0)</f>
        <v/>
      </c>
      <c r="C6" s="16">
        <f>IFERROR(Inputs!C23/Inputs!$U23,0)</f>
        <v/>
      </c>
      <c r="D6" s="16">
        <f>IFERROR(Inputs!D23/Inputs!$U23,0)</f>
        <v/>
      </c>
      <c r="E6" s="16">
        <f>IFERROR(Inputs!E23/Inputs!$U23,0)</f>
        <v/>
      </c>
      <c r="F6" s="16">
        <f>IFERROR(Inputs!F23/Inputs!$U23,0)</f>
        <v/>
      </c>
      <c r="G6" s="16">
        <f>IFERROR(Inputs!G23/Inputs!$U23,0)</f>
        <v/>
      </c>
      <c r="H6" s="16">
        <f>IFERROR(Inputs!H23/Inputs!$U23,0)</f>
        <v/>
      </c>
      <c r="I6" s="16">
        <f>IFERROR(Inputs!I23/Inputs!$U23,0)</f>
        <v/>
      </c>
      <c r="J6" s="16">
        <f>IFERROR(Inputs!J23/Inputs!$U23,0)</f>
        <v/>
      </c>
      <c r="K6" s="16">
        <f>IFERROR(Inputs!K23/Inputs!$U23,0)</f>
        <v/>
      </c>
      <c r="L6" s="16">
        <f>IFERROR(Inputs!L23/Inputs!$U23,0)</f>
        <v/>
      </c>
      <c r="M6" s="16">
        <f>IFERROR(Inputs!M23/Inputs!$U23,0)</f>
        <v/>
      </c>
      <c r="N6" s="16">
        <f>IFERROR(Inputs!N23/Inputs!$U23,0)</f>
        <v/>
      </c>
      <c r="O6" s="16">
        <f>IFERROR(Inputs!O23/Inputs!$U23,0)</f>
        <v/>
      </c>
      <c r="P6" s="16">
        <f>IFERROR(Inputs!P23/Inputs!$U23,0)</f>
        <v/>
      </c>
      <c r="Q6" s="16">
        <f>IFERROR(Inputs!Q23/Inputs!$U23,0)</f>
        <v/>
      </c>
      <c r="R6" s="16">
        <f>IFERROR(Inputs!R23/Inputs!$U23,0)</f>
        <v/>
      </c>
      <c r="S6" s="16">
        <f>IFERROR(Inputs!S23/Inputs!$U23,0)</f>
        <v/>
      </c>
      <c r="T6" s="16">
        <f>IFERROR(Inputs!T23/Inputs!$U23,0)</f>
        <v/>
      </c>
      <c r="W6" s="9">
        <f>A6</f>
        <v/>
      </c>
      <c r="X6" s="16">
        <f>INDEX($B6:$T6,MATCH(X$4,$B$4:$T$4,0))</f>
        <v/>
      </c>
      <c r="Y6" s="16">
        <f>INDEX($B6:$T6,MATCH(Y$4,$B$4:$T$4,0))</f>
        <v/>
      </c>
      <c r="Z6" s="16">
        <f>INDEX($B6:$T6,MATCH(Z$4,$B$4:$T$4,0))</f>
        <v/>
      </c>
      <c r="AA6" s="16">
        <f>INDEX($B6:$T6,MATCH(AA$4,$B$4:$T$4,0))</f>
        <v/>
      </c>
      <c r="AB6" s="16">
        <f>INDEX($B6:$T6,MATCH(AB$4,$B$4:$T$4,0))</f>
        <v/>
      </c>
      <c r="AC6" s="16">
        <f>INDEX($B6:$T6,MATCH(AC$4,$B$4:$T$4,0))</f>
        <v/>
      </c>
      <c r="AD6" s="16">
        <f>INDEX($B6:$T6,MATCH(AD$4,$B$4:$T$4,0))</f>
        <v/>
      </c>
      <c r="AE6" s="16">
        <f>MAX(0,1-SUM(X6:AD6))</f>
        <v/>
      </c>
    </row>
    <row r="7">
      <c r="A7" s="9">
        <f>Inputs!A24</f>
        <v/>
      </c>
      <c r="B7" s="16">
        <f>IFERROR(Inputs!B24/Inputs!$U24,0)</f>
        <v/>
      </c>
      <c r="C7" s="16">
        <f>IFERROR(Inputs!C24/Inputs!$U24,0)</f>
        <v/>
      </c>
      <c r="D7" s="16">
        <f>IFERROR(Inputs!D24/Inputs!$U24,0)</f>
        <v/>
      </c>
      <c r="E7" s="16">
        <f>IFERROR(Inputs!E24/Inputs!$U24,0)</f>
        <v/>
      </c>
      <c r="F7" s="16">
        <f>IFERROR(Inputs!F24/Inputs!$U24,0)</f>
        <v/>
      </c>
      <c r="G7" s="16">
        <f>IFERROR(Inputs!G24/Inputs!$U24,0)</f>
        <v/>
      </c>
      <c r="H7" s="16">
        <f>IFERROR(Inputs!H24/Inputs!$U24,0)</f>
        <v/>
      </c>
      <c r="I7" s="16">
        <f>IFERROR(Inputs!I24/Inputs!$U24,0)</f>
        <v/>
      </c>
      <c r="J7" s="16">
        <f>IFERROR(Inputs!J24/Inputs!$U24,0)</f>
        <v/>
      </c>
      <c r="K7" s="16">
        <f>IFERROR(Inputs!K24/Inputs!$U24,0)</f>
        <v/>
      </c>
      <c r="L7" s="16">
        <f>IFERROR(Inputs!L24/Inputs!$U24,0)</f>
        <v/>
      </c>
      <c r="M7" s="16">
        <f>IFERROR(Inputs!M24/Inputs!$U24,0)</f>
        <v/>
      </c>
      <c r="N7" s="16">
        <f>IFERROR(Inputs!N24/Inputs!$U24,0)</f>
        <v/>
      </c>
      <c r="O7" s="16">
        <f>IFERROR(Inputs!O24/Inputs!$U24,0)</f>
        <v/>
      </c>
      <c r="P7" s="16">
        <f>IFERROR(Inputs!P24/Inputs!$U24,0)</f>
        <v/>
      </c>
      <c r="Q7" s="16">
        <f>IFERROR(Inputs!Q24/Inputs!$U24,0)</f>
        <v/>
      </c>
      <c r="R7" s="16">
        <f>IFERROR(Inputs!R24/Inputs!$U24,0)</f>
        <v/>
      </c>
      <c r="S7" s="16">
        <f>IFERROR(Inputs!S24/Inputs!$U24,0)</f>
        <v/>
      </c>
      <c r="T7" s="16">
        <f>IFERROR(Inputs!T24/Inputs!$U24,0)</f>
        <v/>
      </c>
      <c r="W7" s="9">
        <f>A7</f>
        <v/>
      </c>
      <c r="X7" s="16">
        <f>INDEX($B7:$T7,MATCH(X$4,$B$4:$T$4,0))</f>
        <v/>
      </c>
      <c r="Y7" s="16">
        <f>INDEX($B7:$T7,MATCH(Y$4,$B$4:$T$4,0))</f>
        <v/>
      </c>
      <c r="Z7" s="16">
        <f>INDEX($B7:$T7,MATCH(Z$4,$B$4:$T$4,0))</f>
        <v/>
      </c>
      <c r="AA7" s="16">
        <f>INDEX($B7:$T7,MATCH(AA$4,$B$4:$T$4,0))</f>
        <v/>
      </c>
      <c r="AB7" s="16">
        <f>INDEX($B7:$T7,MATCH(AB$4,$B$4:$T$4,0))</f>
        <v/>
      </c>
      <c r="AC7" s="16">
        <f>INDEX($B7:$T7,MATCH(AC$4,$B$4:$T$4,0))</f>
        <v/>
      </c>
      <c r="AD7" s="16">
        <f>INDEX($B7:$T7,MATCH(AD$4,$B$4:$T$4,0))</f>
        <v/>
      </c>
      <c r="AE7" s="16">
        <f>MAX(0,1-SUM(X7:AD7))</f>
        <v/>
      </c>
    </row>
    <row r="8">
      <c r="A8" s="9">
        <f>Inputs!A25</f>
        <v/>
      </c>
      <c r="B8" s="16">
        <f>IFERROR(Inputs!B25/Inputs!$U25,0)</f>
        <v/>
      </c>
      <c r="C8" s="16">
        <f>IFERROR(Inputs!C25/Inputs!$U25,0)</f>
        <v/>
      </c>
      <c r="D8" s="16">
        <f>IFERROR(Inputs!D25/Inputs!$U25,0)</f>
        <v/>
      </c>
      <c r="E8" s="16">
        <f>IFERROR(Inputs!E25/Inputs!$U25,0)</f>
        <v/>
      </c>
      <c r="F8" s="16">
        <f>IFERROR(Inputs!F25/Inputs!$U25,0)</f>
        <v/>
      </c>
      <c r="G8" s="16">
        <f>IFERROR(Inputs!G25/Inputs!$U25,0)</f>
        <v/>
      </c>
      <c r="H8" s="16">
        <f>IFERROR(Inputs!H25/Inputs!$U25,0)</f>
        <v/>
      </c>
      <c r="I8" s="16">
        <f>IFERROR(Inputs!I25/Inputs!$U25,0)</f>
        <v/>
      </c>
      <c r="J8" s="16">
        <f>IFERROR(Inputs!J25/Inputs!$U25,0)</f>
        <v/>
      </c>
      <c r="K8" s="16">
        <f>IFERROR(Inputs!K25/Inputs!$U25,0)</f>
        <v/>
      </c>
      <c r="L8" s="16">
        <f>IFERROR(Inputs!L25/Inputs!$U25,0)</f>
        <v/>
      </c>
      <c r="M8" s="16">
        <f>IFERROR(Inputs!M25/Inputs!$U25,0)</f>
        <v/>
      </c>
      <c r="N8" s="16">
        <f>IFERROR(Inputs!N25/Inputs!$U25,0)</f>
        <v/>
      </c>
      <c r="O8" s="16">
        <f>IFERROR(Inputs!O25/Inputs!$U25,0)</f>
        <v/>
      </c>
      <c r="P8" s="16">
        <f>IFERROR(Inputs!P25/Inputs!$U25,0)</f>
        <v/>
      </c>
      <c r="Q8" s="16">
        <f>IFERROR(Inputs!Q25/Inputs!$U25,0)</f>
        <v/>
      </c>
      <c r="R8" s="16">
        <f>IFERROR(Inputs!R25/Inputs!$U25,0)</f>
        <v/>
      </c>
      <c r="S8" s="16">
        <f>IFERROR(Inputs!S25/Inputs!$U25,0)</f>
        <v/>
      </c>
      <c r="T8" s="16">
        <f>IFERROR(Inputs!T25/Inputs!$U25,0)</f>
        <v/>
      </c>
      <c r="W8" s="9">
        <f>A8</f>
        <v/>
      </c>
      <c r="X8" s="16">
        <f>INDEX($B8:$T8,MATCH(X$4,$B$4:$T$4,0))</f>
        <v/>
      </c>
      <c r="Y8" s="16">
        <f>INDEX($B8:$T8,MATCH(Y$4,$B$4:$T$4,0))</f>
        <v/>
      </c>
      <c r="Z8" s="16">
        <f>INDEX($B8:$T8,MATCH(Z$4,$B$4:$T$4,0))</f>
        <v/>
      </c>
      <c r="AA8" s="16">
        <f>INDEX($B8:$T8,MATCH(AA$4,$B$4:$T$4,0))</f>
        <v/>
      </c>
      <c r="AB8" s="16">
        <f>INDEX($B8:$T8,MATCH(AB$4,$B$4:$T$4,0))</f>
        <v/>
      </c>
      <c r="AC8" s="16">
        <f>INDEX($B8:$T8,MATCH(AC$4,$B$4:$T$4,0))</f>
        <v/>
      </c>
      <c r="AD8" s="16">
        <f>INDEX($B8:$T8,MATCH(AD$4,$B$4:$T$4,0))</f>
        <v/>
      </c>
      <c r="AE8" s="16">
        <f>MAX(0,1-SUM(X8:AD8))</f>
        <v/>
      </c>
    </row>
    <row r="9">
      <c r="A9" s="9">
        <f>Inputs!A26</f>
        <v/>
      </c>
      <c r="B9" s="16">
        <f>IFERROR(Inputs!B26/Inputs!$U26,0)</f>
        <v/>
      </c>
      <c r="C9" s="16">
        <f>IFERROR(Inputs!C26/Inputs!$U26,0)</f>
        <v/>
      </c>
      <c r="D9" s="16">
        <f>IFERROR(Inputs!D26/Inputs!$U26,0)</f>
        <v/>
      </c>
      <c r="E9" s="16">
        <f>IFERROR(Inputs!E26/Inputs!$U26,0)</f>
        <v/>
      </c>
      <c r="F9" s="16">
        <f>IFERROR(Inputs!F26/Inputs!$U26,0)</f>
        <v/>
      </c>
      <c r="G9" s="16">
        <f>IFERROR(Inputs!G26/Inputs!$U26,0)</f>
        <v/>
      </c>
      <c r="H9" s="16">
        <f>IFERROR(Inputs!H26/Inputs!$U26,0)</f>
        <v/>
      </c>
      <c r="I9" s="16">
        <f>IFERROR(Inputs!I26/Inputs!$U26,0)</f>
        <v/>
      </c>
      <c r="J9" s="16">
        <f>IFERROR(Inputs!J26/Inputs!$U26,0)</f>
        <v/>
      </c>
      <c r="K9" s="16">
        <f>IFERROR(Inputs!K26/Inputs!$U26,0)</f>
        <v/>
      </c>
      <c r="L9" s="16">
        <f>IFERROR(Inputs!L26/Inputs!$U26,0)</f>
        <v/>
      </c>
      <c r="M9" s="16">
        <f>IFERROR(Inputs!M26/Inputs!$U26,0)</f>
        <v/>
      </c>
      <c r="N9" s="16">
        <f>IFERROR(Inputs!N26/Inputs!$U26,0)</f>
        <v/>
      </c>
      <c r="O9" s="16">
        <f>IFERROR(Inputs!O26/Inputs!$U26,0)</f>
        <v/>
      </c>
      <c r="P9" s="16">
        <f>IFERROR(Inputs!P26/Inputs!$U26,0)</f>
        <v/>
      </c>
      <c r="Q9" s="16">
        <f>IFERROR(Inputs!Q26/Inputs!$U26,0)</f>
        <v/>
      </c>
      <c r="R9" s="16">
        <f>IFERROR(Inputs!R26/Inputs!$U26,0)</f>
        <v/>
      </c>
      <c r="S9" s="16">
        <f>IFERROR(Inputs!S26/Inputs!$U26,0)</f>
        <v/>
      </c>
      <c r="T9" s="16">
        <f>IFERROR(Inputs!T26/Inputs!$U26,0)</f>
        <v/>
      </c>
      <c r="W9" s="9">
        <f>A9</f>
        <v/>
      </c>
      <c r="X9" s="16">
        <f>INDEX($B9:$T9,MATCH(X$4,$B$4:$T$4,0))</f>
        <v/>
      </c>
      <c r="Y9" s="16">
        <f>INDEX($B9:$T9,MATCH(Y$4,$B$4:$T$4,0))</f>
        <v/>
      </c>
      <c r="Z9" s="16">
        <f>INDEX($B9:$T9,MATCH(Z$4,$B$4:$T$4,0))</f>
        <v/>
      </c>
      <c r="AA9" s="16">
        <f>INDEX($B9:$T9,MATCH(AA$4,$B$4:$T$4,0))</f>
        <v/>
      </c>
      <c r="AB9" s="16">
        <f>INDEX($B9:$T9,MATCH(AB$4,$B$4:$T$4,0))</f>
        <v/>
      </c>
      <c r="AC9" s="16">
        <f>INDEX($B9:$T9,MATCH(AC$4,$B$4:$T$4,0))</f>
        <v/>
      </c>
      <c r="AD9" s="16">
        <f>INDEX($B9:$T9,MATCH(AD$4,$B$4:$T$4,0))</f>
        <v/>
      </c>
      <c r="AE9" s="16">
        <f>MAX(0,1-SUM(X9:AD9))</f>
        <v/>
      </c>
    </row>
    <row r="10">
      <c r="A10" s="9">
        <f>Inputs!A27</f>
        <v/>
      </c>
      <c r="B10" s="16">
        <f>IFERROR(Inputs!B27/Inputs!$U27,0)</f>
        <v/>
      </c>
      <c r="C10" s="16">
        <f>IFERROR(Inputs!C27/Inputs!$U27,0)</f>
        <v/>
      </c>
      <c r="D10" s="16">
        <f>IFERROR(Inputs!D27/Inputs!$U27,0)</f>
        <v/>
      </c>
      <c r="E10" s="16">
        <f>IFERROR(Inputs!E27/Inputs!$U27,0)</f>
        <v/>
      </c>
      <c r="F10" s="16">
        <f>IFERROR(Inputs!F27/Inputs!$U27,0)</f>
        <v/>
      </c>
      <c r="G10" s="16">
        <f>IFERROR(Inputs!G27/Inputs!$U27,0)</f>
        <v/>
      </c>
      <c r="H10" s="16">
        <f>IFERROR(Inputs!H27/Inputs!$U27,0)</f>
        <v/>
      </c>
      <c r="I10" s="16">
        <f>IFERROR(Inputs!I27/Inputs!$U27,0)</f>
        <v/>
      </c>
      <c r="J10" s="16">
        <f>IFERROR(Inputs!J27/Inputs!$U27,0)</f>
        <v/>
      </c>
      <c r="K10" s="16">
        <f>IFERROR(Inputs!K27/Inputs!$U27,0)</f>
        <v/>
      </c>
      <c r="L10" s="16">
        <f>IFERROR(Inputs!L27/Inputs!$U27,0)</f>
        <v/>
      </c>
      <c r="M10" s="16">
        <f>IFERROR(Inputs!M27/Inputs!$U27,0)</f>
        <v/>
      </c>
      <c r="N10" s="16">
        <f>IFERROR(Inputs!N27/Inputs!$U27,0)</f>
        <v/>
      </c>
      <c r="O10" s="16">
        <f>IFERROR(Inputs!O27/Inputs!$U27,0)</f>
        <v/>
      </c>
      <c r="P10" s="16">
        <f>IFERROR(Inputs!P27/Inputs!$U27,0)</f>
        <v/>
      </c>
      <c r="Q10" s="16">
        <f>IFERROR(Inputs!Q27/Inputs!$U27,0)</f>
        <v/>
      </c>
      <c r="R10" s="16">
        <f>IFERROR(Inputs!R27/Inputs!$U27,0)</f>
        <v/>
      </c>
      <c r="S10" s="16">
        <f>IFERROR(Inputs!S27/Inputs!$U27,0)</f>
        <v/>
      </c>
      <c r="T10" s="16">
        <f>IFERROR(Inputs!T27/Inputs!$U27,0)</f>
        <v/>
      </c>
      <c r="W10" s="9">
        <f>A10</f>
        <v/>
      </c>
      <c r="X10" s="16">
        <f>INDEX($B10:$T10,MATCH(X$4,$B$4:$T$4,0))</f>
        <v/>
      </c>
      <c r="Y10" s="16">
        <f>INDEX($B10:$T10,MATCH(Y$4,$B$4:$T$4,0))</f>
        <v/>
      </c>
      <c r="Z10" s="16">
        <f>INDEX($B10:$T10,MATCH(Z$4,$B$4:$T$4,0))</f>
        <v/>
      </c>
      <c r="AA10" s="16">
        <f>INDEX($B10:$T10,MATCH(AA$4,$B$4:$T$4,0))</f>
        <v/>
      </c>
      <c r="AB10" s="16">
        <f>INDEX($B10:$T10,MATCH(AB$4,$B$4:$T$4,0))</f>
        <v/>
      </c>
      <c r="AC10" s="16">
        <f>INDEX($B10:$T10,MATCH(AC$4,$B$4:$T$4,0))</f>
        <v/>
      </c>
      <c r="AD10" s="16">
        <f>INDEX($B10:$T10,MATCH(AD$4,$B$4:$T$4,0))</f>
        <v/>
      </c>
      <c r="AE10" s="16">
        <f>MAX(0,1-SUM(X10:AD10))</f>
        <v/>
      </c>
    </row>
    <row r="11">
      <c r="A11" s="9">
        <f>Inputs!A28</f>
        <v/>
      </c>
      <c r="B11" s="16">
        <f>IFERROR(Inputs!B28/Inputs!$U28,0)</f>
        <v/>
      </c>
      <c r="C11" s="16">
        <f>IFERROR(Inputs!C28/Inputs!$U28,0)</f>
        <v/>
      </c>
      <c r="D11" s="16">
        <f>IFERROR(Inputs!D28/Inputs!$U28,0)</f>
        <v/>
      </c>
      <c r="E11" s="16">
        <f>IFERROR(Inputs!E28/Inputs!$U28,0)</f>
        <v/>
      </c>
      <c r="F11" s="16">
        <f>IFERROR(Inputs!F28/Inputs!$U28,0)</f>
        <v/>
      </c>
      <c r="G11" s="16">
        <f>IFERROR(Inputs!G28/Inputs!$U28,0)</f>
        <v/>
      </c>
      <c r="H11" s="16">
        <f>IFERROR(Inputs!H28/Inputs!$U28,0)</f>
        <v/>
      </c>
      <c r="I11" s="16">
        <f>IFERROR(Inputs!I28/Inputs!$U28,0)</f>
        <v/>
      </c>
      <c r="J11" s="16">
        <f>IFERROR(Inputs!J28/Inputs!$U28,0)</f>
        <v/>
      </c>
      <c r="K11" s="16">
        <f>IFERROR(Inputs!K28/Inputs!$U28,0)</f>
        <v/>
      </c>
      <c r="L11" s="16">
        <f>IFERROR(Inputs!L28/Inputs!$U28,0)</f>
        <v/>
      </c>
      <c r="M11" s="16">
        <f>IFERROR(Inputs!M28/Inputs!$U28,0)</f>
        <v/>
      </c>
      <c r="N11" s="16">
        <f>IFERROR(Inputs!N28/Inputs!$U28,0)</f>
        <v/>
      </c>
      <c r="O11" s="16">
        <f>IFERROR(Inputs!O28/Inputs!$U28,0)</f>
        <v/>
      </c>
      <c r="P11" s="16">
        <f>IFERROR(Inputs!P28/Inputs!$U28,0)</f>
        <v/>
      </c>
      <c r="Q11" s="16">
        <f>IFERROR(Inputs!Q28/Inputs!$U28,0)</f>
        <v/>
      </c>
      <c r="R11" s="16">
        <f>IFERROR(Inputs!R28/Inputs!$U28,0)</f>
        <v/>
      </c>
      <c r="S11" s="16">
        <f>IFERROR(Inputs!S28/Inputs!$U28,0)</f>
        <v/>
      </c>
      <c r="T11" s="16">
        <f>IFERROR(Inputs!T28/Inputs!$U28,0)</f>
        <v/>
      </c>
      <c r="W11" s="9">
        <f>A11</f>
        <v/>
      </c>
      <c r="X11" s="16">
        <f>INDEX($B11:$T11,MATCH(X$4,$B$4:$T$4,0))</f>
        <v/>
      </c>
      <c r="Y11" s="16">
        <f>INDEX($B11:$T11,MATCH(Y$4,$B$4:$T$4,0))</f>
        <v/>
      </c>
      <c r="Z11" s="16">
        <f>INDEX($B11:$T11,MATCH(Z$4,$B$4:$T$4,0))</f>
        <v/>
      </c>
      <c r="AA11" s="16">
        <f>INDEX($B11:$T11,MATCH(AA$4,$B$4:$T$4,0))</f>
        <v/>
      </c>
      <c r="AB11" s="16">
        <f>INDEX($B11:$T11,MATCH(AB$4,$B$4:$T$4,0))</f>
        <v/>
      </c>
      <c r="AC11" s="16">
        <f>INDEX($B11:$T11,MATCH(AC$4,$B$4:$T$4,0))</f>
        <v/>
      </c>
      <c r="AD11" s="16">
        <f>INDEX($B11:$T11,MATCH(AD$4,$B$4:$T$4,0))</f>
        <v/>
      </c>
      <c r="AE11" s="16">
        <f>MAX(0,1-SUM(X11:AD11))</f>
        <v/>
      </c>
    </row>
    <row r="12">
      <c r="A12" s="9">
        <f>Inputs!A29</f>
        <v/>
      </c>
      <c r="B12" s="16">
        <f>IFERROR(Inputs!B29/Inputs!$U29,0)</f>
        <v/>
      </c>
      <c r="C12" s="16">
        <f>IFERROR(Inputs!C29/Inputs!$U29,0)</f>
        <v/>
      </c>
      <c r="D12" s="16">
        <f>IFERROR(Inputs!D29/Inputs!$U29,0)</f>
        <v/>
      </c>
      <c r="E12" s="16">
        <f>IFERROR(Inputs!E29/Inputs!$U29,0)</f>
        <v/>
      </c>
      <c r="F12" s="16">
        <f>IFERROR(Inputs!F29/Inputs!$U29,0)</f>
        <v/>
      </c>
      <c r="G12" s="16">
        <f>IFERROR(Inputs!G29/Inputs!$U29,0)</f>
        <v/>
      </c>
      <c r="H12" s="16">
        <f>IFERROR(Inputs!H29/Inputs!$U29,0)</f>
        <v/>
      </c>
      <c r="I12" s="16">
        <f>IFERROR(Inputs!I29/Inputs!$U29,0)</f>
        <v/>
      </c>
      <c r="J12" s="16">
        <f>IFERROR(Inputs!J29/Inputs!$U29,0)</f>
        <v/>
      </c>
      <c r="K12" s="16">
        <f>IFERROR(Inputs!K29/Inputs!$U29,0)</f>
        <v/>
      </c>
      <c r="L12" s="16">
        <f>IFERROR(Inputs!L29/Inputs!$U29,0)</f>
        <v/>
      </c>
      <c r="M12" s="16">
        <f>IFERROR(Inputs!M29/Inputs!$U29,0)</f>
        <v/>
      </c>
      <c r="N12" s="16">
        <f>IFERROR(Inputs!N29/Inputs!$U29,0)</f>
        <v/>
      </c>
      <c r="O12" s="16">
        <f>IFERROR(Inputs!O29/Inputs!$U29,0)</f>
        <v/>
      </c>
      <c r="P12" s="16">
        <f>IFERROR(Inputs!P29/Inputs!$U29,0)</f>
        <v/>
      </c>
      <c r="Q12" s="16">
        <f>IFERROR(Inputs!Q29/Inputs!$U29,0)</f>
        <v/>
      </c>
      <c r="R12" s="16">
        <f>IFERROR(Inputs!R29/Inputs!$U29,0)</f>
        <v/>
      </c>
      <c r="S12" s="16">
        <f>IFERROR(Inputs!S29/Inputs!$U29,0)</f>
        <v/>
      </c>
      <c r="T12" s="16">
        <f>IFERROR(Inputs!T29/Inputs!$U29,0)</f>
        <v/>
      </c>
      <c r="W12" s="9">
        <f>A12</f>
        <v/>
      </c>
      <c r="X12" s="16">
        <f>INDEX($B12:$T12,MATCH(X$4,$B$4:$T$4,0))</f>
        <v/>
      </c>
      <c r="Y12" s="16">
        <f>INDEX($B12:$T12,MATCH(Y$4,$B$4:$T$4,0))</f>
        <v/>
      </c>
      <c r="Z12" s="16">
        <f>INDEX($B12:$T12,MATCH(Z$4,$B$4:$T$4,0))</f>
        <v/>
      </c>
      <c r="AA12" s="16">
        <f>INDEX($B12:$T12,MATCH(AA$4,$B$4:$T$4,0))</f>
        <v/>
      </c>
      <c r="AB12" s="16">
        <f>INDEX($B12:$T12,MATCH(AB$4,$B$4:$T$4,0))</f>
        <v/>
      </c>
      <c r="AC12" s="16">
        <f>INDEX($B12:$T12,MATCH(AC$4,$B$4:$T$4,0))</f>
        <v/>
      </c>
      <c r="AD12" s="16">
        <f>INDEX($B12:$T12,MATCH(AD$4,$B$4:$T$4,0))</f>
        <v/>
      </c>
      <c r="AE12" s="16">
        <f>MAX(0,1-SUM(X12:AD12))</f>
        <v/>
      </c>
    </row>
    <row r="13">
      <c r="A13" s="9">
        <f>Inputs!A30</f>
        <v/>
      </c>
      <c r="B13" s="16">
        <f>IFERROR(Inputs!B30/Inputs!$U30,0)</f>
        <v/>
      </c>
      <c r="C13" s="16">
        <f>IFERROR(Inputs!C30/Inputs!$U30,0)</f>
        <v/>
      </c>
      <c r="D13" s="16">
        <f>IFERROR(Inputs!D30/Inputs!$U30,0)</f>
        <v/>
      </c>
      <c r="E13" s="16">
        <f>IFERROR(Inputs!E30/Inputs!$U30,0)</f>
        <v/>
      </c>
      <c r="F13" s="16">
        <f>IFERROR(Inputs!F30/Inputs!$U30,0)</f>
        <v/>
      </c>
      <c r="G13" s="16">
        <f>IFERROR(Inputs!G30/Inputs!$U30,0)</f>
        <v/>
      </c>
      <c r="H13" s="16">
        <f>IFERROR(Inputs!H30/Inputs!$U30,0)</f>
        <v/>
      </c>
      <c r="I13" s="16">
        <f>IFERROR(Inputs!I30/Inputs!$U30,0)</f>
        <v/>
      </c>
      <c r="J13" s="16">
        <f>IFERROR(Inputs!J30/Inputs!$U30,0)</f>
        <v/>
      </c>
      <c r="K13" s="16">
        <f>IFERROR(Inputs!K30/Inputs!$U30,0)</f>
        <v/>
      </c>
      <c r="L13" s="16">
        <f>IFERROR(Inputs!L30/Inputs!$U30,0)</f>
        <v/>
      </c>
      <c r="M13" s="16">
        <f>IFERROR(Inputs!M30/Inputs!$U30,0)</f>
        <v/>
      </c>
      <c r="N13" s="16">
        <f>IFERROR(Inputs!N30/Inputs!$U30,0)</f>
        <v/>
      </c>
      <c r="O13" s="16">
        <f>IFERROR(Inputs!O30/Inputs!$U30,0)</f>
        <v/>
      </c>
      <c r="P13" s="16">
        <f>IFERROR(Inputs!P30/Inputs!$U30,0)</f>
        <v/>
      </c>
      <c r="Q13" s="16">
        <f>IFERROR(Inputs!Q30/Inputs!$U30,0)</f>
        <v/>
      </c>
      <c r="R13" s="16">
        <f>IFERROR(Inputs!R30/Inputs!$U30,0)</f>
        <v/>
      </c>
      <c r="S13" s="16">
        <f>IFERROR(Inputs!S30/Inputs!$U30,0)</f>
        <v/>
      </c>
      <c r="T13" s="16">
        <f>IFERROR(Inputs!T30/Inputs!$U30,0)</f>
        <v/>
      </c>
      <c r="W13" s="9">
        <f>A13</f>
        <v/>
      </c>
      <c r="X13" s="16">
        <f>INDEX($B13:$T13,MATCH(X$4,$B$4:$T$4,0))</f>
        <v/>
      </c>
      <c r="Y13" s="16">
        <f>INDEX($B13:$T13,MATCH(Y$4,$B$4:$T$4,0))</f>
        <v/>
      </c>
      <c r="Z13" s="16">
        <f>INDEX($B13:$T13,MATCH(Z$4,$B$4:$T$4,0))</f>
        <v/>
      </c>
      <c r="AA13" s="16">
        <f>INDEX($B13:$T13,MATCH(AA$4,$B$4:$T$4,0))</f>
        <v/>
      </c>
      <c r="AB13" s="16">
        <f>INDEX($B13:$T13,MATCH(AB$4,$B$4:$T$4,0))</f>
        <v/>
      </c>
      <c r="AC13" s="16">
        <f>INDEX($B13:$T13,MATCH(AC$4,$B$4:$T$4,0))</f>
        <v/>
      </c>
      <c r="AD13" s="16">
        <f>INDEX($B13:$T13,MATCH(AD$4,$B$4:$T$4,0))</f>
        <v/>
      </c>
      <c r="AE13" s="16">
        <f>MAX(0,1-SUM(X13:AD13))</f>
        <v/>
      </c>
    </row>
    <row r="14">
      <c r="A14" s="9">
        <f>Inputs!A31</f>
        <v/>
      </c>
      <c r="B14" s="16">
        <f>IFERROR(Inputs!B31/Inputs!$U31,0)</f>
        <v/>
      </c>
      <c r="C14" s="16">
        <f>IFERROR(Inputs!C31/Inputs!$U31,0)</f>
        <v/>
      </c>
      <c r="D14" s="16">
        <f>IFERROR(Inputs!D31/Inputs!$U31,0)</f>
        <v/>
      </c>
      <c r="E14" s="16">
        <f>IFERROR(Inputs!E31/Inputs!$U31,0)</f>
        <v/>
      </c>
      <c r="F14" s="16">
        <f>IFERROR(Inputs!F31/Inputs!$U31,0)</f>
        <v/>
      </c>
      <c r="G14" s="16">
        <f>IFERROR(Inputs!G31/Inputs!$U31,0)</f>
        <v/>
      </c>
      <c r="H14" s="16">
        <f>IFERROR(Inputs!H31/Inputs!$U31,0)</f>
        <v/>
      </c>
      <c r="I14" s="16">
        <f>IFERROR(Inputs!I31/Inputs!$U31,0)</f>
        <v/>
      </c>
      <c r="J14" s="16">
        <f>IFERROR(Inputs!J31/Inputs!$U31,0)</f>
        <v/>
      </c>
      <c r="K14" s="16">
        <f>IFERROR(Inputs!K31/Inputs!$U31,0)</f>
        <v/>
      </c>
      <c r="L14" s="16">
        <f>IFERROR(Inputs!L31/Inputs!$U31,0)</f>
        <v/>
      </c>
      <c r="M14" s="16">
        <f>IFERROR(Inputs!M31/Inputs!$U31,0)</f>
        <v/>
      </c>
      <c r="N14" s="16">
        <f>IFERROR(Inputs!N31/Inputs!$U31,0)</f>
        <v/>
      </c>
      <c r="O14" s="16">
        <f>IFERROR(Inputs!O31/Inputs!$U31,0)</f>
        <v/>
      </c>
      <c r="P14" s="16">
        <f>IFERROR(Inputs!P31/Inputs!$U31,0)</f>
        <v/>
      </c>
      <c r="Q14" s="16">
        <f>IFERROR(Inputs!Q31/Inputs!$U31,0)</f>
        <v/>
      </c>
      <c r="R14" s="16">
        <f>IFERROR(Inputs!R31/Inputs!$U31,0)</f>
        <v/>
      </c>
      <c r="S14" s="16">
        <f>IFERROR(Inputs!S31/Inputs!$U31,0)</f>
        <v/>
      </c>
      <c r="T14" s="16">
        <f>IFERROR(Inputs!T31/Inputs!$U31,0)</f>
        <v/>
      </c>
      <c r="W14" s="9">
        <f>A14</f>
        <v/>
      </c>
      <c r="X14" s="16">
        <f>INDEX($B14:$T14,MATCH(X$4,$B$4:$T$4,0))</f>
        <v/>
      </c>
      <c r="Y14" s="16">
        <f>INDEX($B14:$T14,MATCH(Y$4,$B$4:$T$4,0))</f>
        <v/>
      </c>
      <c r="Z14" s="16">
        <f>INDEX($B14:$T14,MATCH(Z$4,$B$4:$T$4,0))</f>
        <v/>
      </c>
      <c r="AA14" s="16">
        <f>INDEX($B14:$T14,MATCH(AA$4,$B$4:$T$4,0))</f>
        <v/>
      </c>
      <c r="AB14" s="16">
        <f>INDEX($B14:$T14,MATCH(AB$4,$B$4:$T$4,0))</f>
        <v/>
      </c>
      <c r="AC14" s="16">
        <f>INDEX($B14:$T14,MATCH(AC$4,$B$4:$T$4,0))</f>
        <v/>
      </c>
      <c r="AD14" s="16">
        <f>INDEX($B14:$T14,MATCH(AD$4,$B$4:$T$4,0))</f>
        <v/>
      </c>
      <c r="AE14" s="16">
        <f>MAX(0,1-SUM(X14:AD14))</f>
        <v/>
      </c>
    </row>
    <row r="15">
      <c r="A15" s="9">
        <f>Inputs!A32</f>
        <v/>
      </c>
      <c r="B15" s="16">
        <f>IFERROR(Inputs!B32/Inputs!$U32,0)</f>
        <v/>
      </c>
      <c r="C15" s="16">
        <f>IFERROR(Inputs!C32/Inputs!$U32,0)</f>
        <v/>
      </c>
      <c r="D15" s="16">
        <f>IFERROR(Inputs!D32/Inputs!$U32,0)</f>
        <v/>
      </c>
      <c r="E15" s="16">
        <f>IFERROR(Inputs!E32/Inputs!$U32,0)</f>
        <v/>
      </c>
      <c r="F15" s="16">
        <f>IFERROR(Inputs!F32/Inputs!$U32,0)</f>
        <v/>
      </c>
      <c r="G15" s="16">
        <f>IFERROR(Inputs!G32/Inputs!$U32,0)</f>
        <v/>
      </c>
      <c r="H15" s="16">
        <f>IFERROR(Inputs!H32/Inputs!$U32,0)</f>
        <v/>
      </c>
      <c r="I15" s="16">
        <f>IFERROR(Inputs!I32/Inputs!$U32,0)</f>
        <v/>
      </c>
      <c r="J15" s="16">
        <f>IFERROR(Inputs!J32/Inputs!$U32,0)</f>
        <v/>
      </c>
      <c r="K15" s="16">
        <f>IFERROR(Inputs!K32/Inputs!$U32,0)</f>
        <v/>
      </c>
      <c r="L15" s="16">
        <f>IFERROR(Inputs!L32/Inputs!$U32,0)</f>
        <v/>
      </c>
      <c r="M15" s="16">
        <f>IFERROR(Inputs!M32/Inputs!$U32,0)</f>
        <v/>
      </c>
      <c r="N15" s="16">
        <f>IFERROR(Inputs!N32/Inputs!$U32,0)</f>
        <v/>
      </c>
      <c r="O15" s="16">
        <f>IFERROR(Inputs!O32/Inputs!$U32,0)</f>
        <v/>
      </c>
      <c r="P15" s="16">
        <f>IFERROR(Inputs!P32/Inputs!$U32,0)</f>
        <v/>
      </c>
      <c r="Q15" s="16">
        <f>IFERROR(Inputs!Q32/Inputs!$U32,0)</f>
        <v/>
      </c>
      <c r="R15" s="16">
        <f>IFERROR(Inputs!R32/Inputs!$U32,0)</f>
        <v/>
      </c>
      <c r="S15" s="16">
        <f>IFERROR(Inputs!S32/Inputs!$U32,0)</f>
        <v/>
      </c>
      <c r="T15" s="16">
        <f>IFERROR(Inputs!T32/Inputs!$U32,0)</f>
        <v/>
      </c>
      <c r="W15" s="9">
        <f>A15</f>
        <v/>
      </c>
      <c r="X15" s="16">
        <f>INDEX($B15:$T15,MATCH(X$4,$B$4:$T$4,0))</f>
        <v/>
      </c>
      <c r="Y15" s="16">
        <f>INDEX($B15:$T15,MATCH(Y$4,$B$4:$T$4,0))</f>
        <v/>
      </c>
      <c r="Z15" s="16">
        <f>INDEX($B15:$T15,MATCH(Z$4,$B$4:$T$4,0))</f>
        <v/>
      </c>
      <c r="AA15" s="16">
        <f>INDEX($B15:$T15,MATCH(AA$4,$B$4:$T$4,0))</f>
        <v/>
      </c>
      <c r="AB15" s="16">
        <f>INDEX($B15:$T15,MATCH(AB$4,$B$4:$T$4,0))</f>
        <v/>
      </c>
      <c r="AC15" s="16">
        <f>INDEX($B15:$T15,MATCH(AC$4,$B$4:$T$4,0))</f>
        <v/>
      </c>
      <c r="AD15" s="16">
        <f>INDEX($B15:$T15,MATCH(AD$4,$B$4:$T$4,0))</f>
        <v/>
      </c>
      <c r="AE15" s="16">
        <f>MAX(0,1-SUM(X15:AD15))</f>
        <v/>
      </c>
    </row>
    <row r="16">
      <c r="A16" s="9">
        <f>Inputs!A33</f>
        <v/>
      </c>
      <c r="B16" s="16">
        <f>IFERROR(Inputs!B33/Inputs!$U33,0)</f>
        <v/>
      </c>
      <c r="C16" s="16">
        <f>IFERROR(Inputs!C33/Inputs!$U33,0)</f>
        <v/>
      </c>
      <c r="D16" s="16">
        <f>IFERROR(Inputs!D33/Inputs!$U33,0)</f>
        <v/>
      </c>
      <c r="E16" s="16">
        <f>IFERROR(Inputs!E33/Inputs!$U33,0)</f>
        <v/>
      </c>
      <c r="F16" s="16">
        <f>IFERROR(Inputs!F33/Inputs!$U33,0)</f>
        <v/>
      </c>
      <c r="G16" s="16">
        <f>IFERROR(Inputs!G33/Inputs!$U33,0)</f>
        <v/>
      </c>
      <c r="H16" s="16">
        <f>IFERROR(Inputs!H33/Inputs!$U33,0)</f>
        <v/>
      </c>
      <c r="I16" s="16">
        <f>IFERROR(Inputs!I33/Inputs!$U33,0)</f>
        <v/>
      </c>
      <c r="J16" s="16">
        <f>IFERROR(Inputs!J33/Inputs!$U33,0)</f>
        <v/>
      </c>
      <c r="K16" s="16">
        <f>IFERROR(Inputs!K33/Inputs!$U33,0)</f>
        <v/>
      </c>
      <c r="L16" s="16">
        <f>IFERROR(Inputs!L33/Inputs!$U33,0)</f>
        <v/>
      </c>
      <c r="M16" s="16">
        <f>IFERROR(Inputs!M33/Inputs!$U33,0)</f>
        <v/>
      </c>
      <c r="N16" s="16">
        <f>IFERROR(Inputs!N33/Inputs!$U33,0)</f>
        <v/>
      </c>
      <c r="O16" s="16">
        <f>IFERROR(Inputs!O33/Inputs!$U33,0)</f>
        <v/>
      </c>
      <c r="P16" s="16">
        <f>IFERROR(Inputs!P33/Inputs!$U33,0)</f>
        <v/>
      </c>
      <c r="Q16" s="16">
        <f>IFERROR(Inputs!Q33/Inputs!$U33,0)</f>
        <v/>
      </c>
      <c r="R16" s="16">
        <f>IFERROR(Inputs!R33/Inputs!$U33,0)</f>
        <v/>
      </c>
      <c r="S16" s="16">
        <f>IFERROR(Inputs!S33/Inputs!$U33,0)</f>
        <v/>
      </c>
      <c r="T16" s="16">
        <f>IFERROR(Inputs!T33/Inputs!$U33,0)</f>
        <v/>
      </c>
      <c r="W16" s="9">
        <f>A16</f>
        <v/>
      </c>
      <c r="X16" s="16">
        <f>INDEX($B16:$T16,MATCH(X$4,$B$4:$T$4,0))</f>
        <v/>
      </c>
      <c r="Y16" s="16">
        <f>INDEX($B16:$T16,MATCH(Y$4,$B$4:$T$4,0))</f>
        <v/>
      </c>
      <c r="Z16" s="16">
        <f>INDEX($B16:$T16,MATCH(Z$4,$B$4:$T$4,0))</f>
        <v/>
      </c>
      <c r="AA16" s="16">
        <f>INDEX($B16:$T16,MATCH(AA$4,$B$4:$T$4,0))</f>
        <v/>
      </c>
      <c r="AB16" s="16">
        <f>INDEX($B16:$T16,MATCH(AB$4,$B$4:$T$4,0))</f>
        <v/>
      </c>
      <c r="AC16" s="16">
        <f>INDEX($B16:$T16,MATCH(AC$4,$B$4:$T$4,0))</f>
        <v/>
      </c>
      <c r="AD16" s="16">
        <f>INDEX($B16:$T16,MATCH(AD$4,$B$4:$T$4,0))</f>
        <v/>
      </c>
      <c r="AE16" s="16">
        <f>MAX(0,1-SUM(X16:AD16))</f>
        <v/>
      </c>
    </row>
    <row r="17">
      <c r="A17" s="9">
        <f>Inputs!A34</f>
        <v/>
      </c>
      <c r="B17" s="16">
        <f>IFERROR(Inputs!B34/Inputs!$U34,0)</f>
        <v/>
      </c>
      <c r="C17" s="16">
        <f>IFERROR(Inputs!C34/Inputs!$U34,0)</f>
        <v/>
      </c>
      <c r="D17" s="16">
        <f>IFERROR(Inputs!D34/Inputs!$U34,0)</f>
        <v/>
      </c>
      <c r="E17" s="16">
        <f>IFERROR(Inputs!E34/Inputs!$U34,0)</f>
        <v/>
      </c>
      <c r="F17" s="16">
        <f>IFERROR(Inputs!F34/Inputs!$U34,0)</f>
        <v/>
      </c>
      <c r="G17" s="16">
        <f>IFERROR(Inputs!G34/Inputs!$U34,0)</f>
        <v/>
      </c>
      <c r="H17" s="16">
        <f>IFERROR(Inputs!H34/Inputs!$U34,0)</f>
        <v/>
      </c>
      <c r="I17" s="16">
        <f>IFERROR(Inputs!I34/Inputs!$U34,0)</f>
        <v/>
      </c>
      <c r="J17" s="16">
        <f>IFERROR(Inputs!J34/Inputs!$U34,0)</f>
        <v/>
      </c>
      <c r="K17" s="16">
        <f>IFERROR(Inputs!K34/Inputs!$U34,0)</f>
        <v/>
      </c>
      <c r="L17" s="16">
        <f>IFERROR(Inputs!L34/Inputs!$U34,0)</f>
        <v/>
      </c>
      <c r="M17" s="16">
        <f>IFERROR(Inputs!M34/Inputs!$U34,0)</f>
        <v/>
      </c>
      <c r="N17" s="16">
        <f>IFERROR(Inputs!N34/Inputs!$U34,0)</f>
        <v/>
      </c>
      <c r="O17" s="16">
        <f>IFERROR(Inputs!O34/Inputs!$U34,0)</f>
        <v/>
      </c>
      <c r="P17" s="16">
        <f>IFERROR(Inputs!P34/Inputs!$U34,0)</f>
        <v/>
      </c>
      <c r="Q17" s="16">
        <f>IFERROR(Inputs!Q34/Inputs!$U34,0)</f>
        <v/>
      </c>
      <c r="R17" s="16">
        <f>IFERROR(Inputs!R34/Inputs!$U34,0)</f>
        <v/>
      </c>
      <c r="S17" s="16">
        <f>IFERROR(Inputs!S34/Inputs!$U34,0)</f>
        <v/>
      </c>
      <c r="T17" s="16">
        <f>IFERROR(Inputs!T34/Inputs!$U34,0)</f>
        <v/>
      </c>
      <c r="W17" s="9">
        <f>A17</f>
        <v/>
      </c>
      <c r="X17" s="16">
        <f>INDEX($B17:$T17,MATCH(X$4,$B$4:$T$4,0))</f>
        <v/>
      </c>
      <c r="Y17" s="16">
        <f>INDEX($B17:$T17,MATCH(Y$4,$B$4:$T$4,0))</f>
        <v/>
      </c>
      <c r="Z17" s="16">
        <f>INDEX($B17:$T17,MATCH(Z$4,$B$4:$T$4,0))</f>
        <v/>
      </c>
      <c r="AA17" s="16">
        <f>INDEX($B17:$T17,MATCH(AA$4,$B$4:$T$4,0))</f>
        <v/>
      </c>
      <c r="AB17" s="16">
        <f>INDEX($B17:$T17,MATCH(AB$4,$B$4:$T$4,0))</f>
        <v/>
      </c>
      <c r="AC17" s="16">
        <f>INDEX($B17:$T17,MATCH(AC$4,$B$4:$T$4,0))</f>
        <v/>
      </c>
      <c r="AD17" s="16">
        <f>INDEX($B17:$T17,MATCH(AD$4,$B$4:$T$4,0))</f>
        <v/>
      </c>
      <c r="AE17" s="16">
        <f>MAX(0,1-SUM(X17:AD17))</f>
        <v/>
      </c>
    </row>
    <row r="18">
      <c r="A18" s="14" t="inlineStr">
        <is>
          <t>Average</t>
        </is>
      </c>
      <c r="B18" s="17">
        <f>AVERAGE(B5:B17)</f>
        <v/>
      </c>
      <c r="C18" s="17">
        <f>AVERAGE(C5:C17)</f>
        <v/>
      </c>
      <c r="D18" s="17">
        <f>AVERAGE(D5:D17)</f>
        <v/>
      </c>
      <c r="E18" s="17">
        <f>AVERAGE(E5:E17)</f>
        <v/>
      </c>
      <c r="F18" s="17">
        <f>AVERAGE(F5:F17)</f>
        <v/>
      </c>
      <c r="G18" s="17">
        <f>AVERAGE(G5:G17)</f>
        <v/>
      </c>
      <c r="H18" s="17">
        <f>AVERAGE(H5:H17)</f>
        <v/>
      </c>
      <c r="I18" s="17">
        <f>AVERAGE(I5:I17)</f>
        <v/>
      </c>
      <c r="J18" s="17">
        <f>AVERAGE(J5:J17)</f>
        <v/>
      </c>
      <c r="K18" s="17">
        <f>AVERAGE(K5:K17)</f>
        <v/>
      </c>
      <c r="L18" s="17">
        <f>AVERAGE(L5:L17)</f>
        <v/>
      </c>
      <c r="M18" s="17">
        <f>AVERAGE(M5:M17)</f>
        <v/>
      </c>
      <c r="N18" s="17">
        <f>AVERAGE(N5:N17)</f>
        <v/>
      </c>
      <c r="O18" s="17">
        <f>AVERAGE(O5:O17)</f>
        <v/>
      </c>
      <c r="P18" s="17">
        <f>AVERAGE(P5:P17)</f>
        <v/>
      </c>
      <c r="Q18" s="17">
        <f>AVERAGE(Q5:Q17)</f>
        <v/>
      </c>
      <c r="R18" s="17">
        <f>AVERAGE(R5:R17)</f>
        <v/>
      </c>
      <c r="S18" s="17">
        <f>AVERAGE(S5:S17)</f>
        <v/>
      </c>
      <c r="T18" s="17">
        <f>AVERAGE(T5:T17)</f>
        <v/>
      </c>
    </row>
    <row r="46">
      <c r="A46" s="5" t="inlineStr">
        <is>
          <t>Brief on each month</t>
        </is>
      </c>
    </row>
    <row r="47" ht="30" customHeight="1">
      <c r="A47" s="4">
        <f>TEXT(A5,"mmm yyyy")&amp;": "&amp;Calc!W5&amp;" "&amp;TEXT(Calc!X5,"0.0%")&amp;", "&amp;Calc!Y5&amp;" "&amp;TEXT(Calc!Z5,"0.0%")&amp;", "&amp;Calc!AA5&amp;" "&amp;TEXT(Calc!AB5,"0.0%")&amp;". Top 3 = "&amp;TEXT(Calc!AE5,"0.0%")&amp;" of the month. The remaining "&amp;TEXT(1-Calc!AE5,"0.0%")&amp;" is spread over "&amp;Calc!AC5&amp;" other order types at 1% or more and "&amp;Calc!AD5&amp;" under 1%."</f>
        <v/>
      </c>
    </row>
    <row r="48" ht="30" customHeight="1">
      <c r="A48" s="4">
        <f>TEXT(A6,"mmm yyyy")&amp;": "&amp;Calc!W6&amp;" "&amp;TEXT(Calc!X6,"0.0%")&amp;", "&amp;Calc!Y6&amp;" "&amp;TEXT(Calc!Z6,"0.0%")&amp;", "&amp;Calc!AA6&amp;" "&amp;TEXT(Calc!AB6,"0.0%")&amp;". Top 3 = "&amp;TEXT(Calc!AE6,"0.0%")&amp;" of the month. The remaining "&amp;TEXT(1-Calc!AE6,"0.0%")&amp;" is spread over "&amp;Calc!AC6&amp;" other order types at 1% or more and "&amp;Calc!AD6&amp;" under 1%."</f>
        <v/>
      </c>
    </row>
    <row r="49" ht="30" customHeight="1">
      <c r="A49" s="4">
        <f>TEXT(A7,"mmm yyyy")&amp;": "&amp;Calc!W7&amp;" "&amp;TEXT(Calc!X7,"0.0%")&amp;", "&amp;Calc!Y7&amp;" "&amp;TEXT(Calc!Z7,"0.0%")&amp;", "&amp;Calc!AA7&amp;" "&amp;TEXT(Calc!AB7,"0.0%")&amp;". Top 3 = "&amp;TEXT(Calc!AE7,"0.0%")&amp;" of the month. The remaining "&amp;TEXT(1-Calc!AE7,"0.0%")&amp;" is spread over "&amp;Calc!AC7&amp;" other order types at 1% or more and "&amp;Calc!AD7&amp;" under 1%."</f>
        <v/>
      </c>
    </row>
    <row r="50" ht="30" customHeight="1">
      <c r="A50" s="4">
        <f>TEXT(A8,"mmm yyyy")&amp;": "&amp;Calc!W8&amp;" "&amp;TEXT(Calc!X8,"0.0%")&amp;", "&amp;Calc!Y8&amp;" "&amp;TEXT(Calc!Z8,"0.0%")&amp;", "&amp;Calc!AA8&amp;" "&amp;TEXT(Calc!AB8,"0.0%")&amp;". Top 3 = "&amp;TEXT(Calc!AE8,"0.0%")&amp;" of the month. The remaining "&amp;TEXT(1-Calc!AE8,"0.0%")&amp;" is spread over "&amp;Calc!AC8&amp;" other order types at 1% or more and "&amp;Calc!AD8&amp;" under 1%."</f>
        <v/>
      </c>
    </row>
    <row r="51" ht="30" customHeight="1">
      <c r="A51" s="4">
        <f>TEXT(A9,"mmm yyyy")&amp;": "&amp;Calc!W9&amp;" "&amp;TEXT(Calc!X9,"0.0%")&amp;", "&amp;Calc!Y9&amp;" "&amp;TEXT(Calc!Z9,"0.0%")&amp;", "&amp;Calc!AA9&amp;" "&amp;TEXT(Calc!AB9,"0.0%")&amp;". Top 3 = "&amp;TEXT(Calc!AE9,"0.0%")&amp;" of the month. The remaining "&amp;TEXT(1-Calc!AE9,"0.0%")&amp;" is spread over "&amp;Calc!AC9&amp;" other order types at 1% or more and "&amp;Calc!AD9&amp;" under 1%."</f>
        <v/>
      </c>
    </row>
    <row r="52" ht="30" customHeight="1">
      <c r="A52" s="4">
        <f>TEXT(A10,"mmm yyyy")&amp;": "&amp;Calc!W10&amp;" "&amp;TEXT(Calc!X10,"0.0%")&amp;", "&amp;Calc!Y10&amp;" "&amp;TEXT(Calc!Z10,"0.0%")&amp;", "&amp;Calc!AA10&amp;" "&amp;TEXT(Calc!AB10,"0.0%")&amp;". Top 3 = "&amp;TEXT(Calc!AE10,"0.0%")&amp;" of the month. The remaining "&amp;TEXT(1-Calc!AE10,"0.0%")&amp;" is spread over "&amp;Calc!AC10&amp;" other order types at 1% or more and "&amp;Calc!AD10&amp;" under 1%."</f>
        <v/>
      </c>
    </row>
    <row r="53" ht="30" customHeight="1">
      <c r="A53" s="4">
        <f>TEXT(A11,"mmm yyyy")&amp;": "&amp;Calc!W11&amp;" "&amp;TEXT(Calc!X11,"0.0%")&amp;", "&amp;Calc!Y11&amp;" "&amp;TEXT(Calc!Z11,"0.0%")&amp;", "&amp;Calc!AA11&amp;" "&amp;TEXT(Calc!AB11,"0.0%")&amp;". Top 3 = "&amp;TEXT(Calc!AE11,"0.0%")&amp;" of the month. The remaining "&amp;TEXT(1-Calc!AE11,"0.0%")&amp;" is spread over "&amp;Calc!AC11&amp;" other order types at 1% or more and "&amp;Calc!AD11&amp;" under 1%."</f>
        <v/>
      </c>
    </row>
    <row r="54" ht="30" customHeight="1">
      <c r="A54" s="4">
        <f>TEXT(A12,"mmm yyyy")&amp;": "&amp;Calc!W12&amp;" "&amp;TEXT(Calc!X12,"0.0%")&amp;", "&amp;Calc!Y12&amp;" "&amp;TEXT(Calc!Z12,"0.0%")&amp;", "&amp;Calc!AA12&amp;" "&amp;TEXT(Calc!AB12,"0.0%")&amp;". Top 3 = "&amp;TEXT(Calc!AE12,"0.0%")&amp;" of the month. The remaining "&amp;TEXT(1-Calc!AE12,"0.0%")&amp;" is spread over "&amp;Calc!AC12&amp;" other order types at 1% or more and "&amp;Calc!AD12&amp;" under 1%."</f>
        <v/>
      </c>
    </row>
    <row r="55" ht="30" customHeight="1">
      <c r="A55" s="4">
        <f>TEXT(A13,"mmm yyyy")&amp;": "&amp;Calc!W13&amp;" "&amp;TEXT(Calc!X13,"0.0%")&amp;", "&amp;Calc!Y13&amp;" "&amp;TEXT(Calc!Z13,"0.0%")&amp;", "&amp;Calc!AA13&amp;" "&amp;TEXT(Calc!AB13,"0.0%")&amp;". Top 3 = "&amp;TEXT(Calc!AE13,"0.0%")&amp;" of the month. The remaining "&amp;TEXT(1-Calc!AE13,"0.0%")&amp;" is spread over "&amp;Calc!AC13&amp;" other order types at 1% or more and "&amp;Calc!AD13&amp;" under 1%."</f>
        <v/>
      </c>
    </row>
    <row r="56" ht="30" customHeight="1">
      <c r="A56" s="4">
        <f>TEXT(A14,"mmm yyyy")&amp;": "&amp;Calc!W14&amp;" "&amp;TEXT(Calc!X14,"0.0%")&amp;", "&amp;Calc!Y14&amp;" "&amp;TEXT(Calc!Z14,"0.0%")&amp;", "&amp;Calc!AA14&amp;" "&amp;TEXT(Calc!AB14,"0.0%")&amp;". Top 3 = "&amp;TEXT(Calc!AE14,"0.0%")&amp;" of the month. The remaining "&amp;TEXT(1-Calc!AE14,"0.0%")&amp;" is spread over "&amp;Calc!AC14&amp;" other order types at 1% or more and "&amp;Calc!AD14&amp;" under 1%."</f>
        <v/>
      </c>
    </row>
    <row r="57" ht="30" customHeight="1">
      <c r="A57" s="4">
        <f>TEXT(A15,"mmm yyyy")&amp;": "&amp;Calc!W15&amp;" "&amp;TEXT(Calc!X15,"0.0%")&amp;", "&amp;Calc!Y15&amp;" "&amp;TEXT(Calc!Z15,"0.0%")&amp;", "&amp;Calc!AA15&amp;" "&amp;TEXT(Calc!AB15,"0.0%")&amp;". Top 3 = "&amp;TEXT(Calc!AE15,"0.0%")&amp;" of the month. The remaining "&amp;TEXT(1-Calc!AE15,"0.0%")&amp;" is spread over "&amp;Calc!AC15&amp;" other order types at 1% or more and "&amp;Calc!AD15&amp;" under 1%."</f>
        <v/>
      </c>
    </row>
    <row r="58" ht="30" customHeight="1">
      <c r="A58" s="4">
        <f>TEXT(A16,"mmm yyyy")&amp;": "&amp;Calc!W16&amp;" "&amp;TEXT(Calc!X16,"0.0%")&amp;", "&amp;Calc!Y16&amp;" "&amp;TEXT(Calc!Z16,"0.0%")&amp;", "&amp;Calc!AA16&amp;" "&amp;TEXT(Calc!AB16,"0.0%")&amp;". Top 3 = "&amp;TEXT(Calc!AE16,"0.0%")&amp;" of the month. The remaining "&amp;TEXT(1-Calc!AE16,"0.0%")&amp;" is spread over "&amp;Calc!AC16&amp;" other order types at 1% or more and "&amp;Calc!AD16&amp;" under 1%."</f>
        <v/>
      </c>
    </row>
    <row r="59" ht="30" customHeight="1">
      <c r="A59" s="4">
        <f>TEXT(A17,"mmm yyyy")&amp;": "&amp;Calc!W17&amp;" "&amp;TEXT(Calc!X17,"0.0%")&amp;", "&amp;Calc!Y17&amp;" "&amp;TEXT(Calc!Z17,"0.0%")&amp;", "&amp;Calc!AA17&amp;" "&amp;TEXT(Calc!AB17,"0.0%")&amp;". Top 3 = "&amp;TEXT(Calc!AE17,"0.0%")&amp;" of the month. The remaining "&amp;TEXT(1-Calc!AE17,"0.0%")&amp;" is spread over "&amp;Calc!AC17&amp;" other order types at 1% or more and "&amp;Calc!AD17&amp;" under 1%."</f>
        <v/>
      </c>
    </row>
    <row r="62">
      <c r="A62" s="5" t="inlineStr">
        <is>
          <t>Notable month-to-month shifts (top 5 order types by average share)</t>
        </is>
      </c>
    </row>
    <row r="63" ht="18" customHeight="1">
      <c r="A63" s="4">
        <f>X$4&amp;": from "&amp;TEXT(MIN(INDEX($B$5:$T$17,0,MATCH(X$4,$B$4:$T$4,0))),"0.0%")&amp;" ("&amp;TEXT(INDEX($A$5:$A$17,MATCH(MIN(INDEX($B$5:$T$17,0,MATCH(X$4,$B$4:$T$4,0))),INDEX($B$5:$T$17,0,MATCH(X$4,$B$4:$T$4,0)),0)),"mmm yyyy")&amp;") to "&amp;TEXT(MAX(INDEX($B$5:$T$17,0,MATCH(X$4,$B$4:$T$4,0))),"0.0%")&amp;" ("&amp;TEXT(INDEX($A$5:$A$17,MATCH(MAX(INDEX($B$5:$T$17,0,MATCH(X$4,$B$4:$T$4,0))),INDEX($B$5:$T$17,0,MATCH(X$4,$B$4:$T$4,0)),0)),"mmm yyyy")&amp;"), average monthly share "&amp;TEXT(AVERAGE(INDEX($B$5:$T$17,0,MATCH(X$4,$B$4:$T$4,0))),"0.0%")&amp;"."</f>
        <v/>
      </c>
    </row>
    <row r="64" ht="18" customHeight="1">
      <c r="A64" s="4">
        <f>Y$4&amp;": from "&amp;TEXT(MIN(INDEX($B$5:$T$17,0,MATCH(Y$4,$B$4:$T$4,0))),"0.0%")&amp;" ("&amp;TEXT(INDEX($A$5:$A$17,MATCH(MIN(INDEX($B$5:$T$17,0,MATCH(Y$4,$B$4:$T$4,0))),INDEX($B$5:$T$17,0,MATCH(Y$4,$B$4:$T$4,0)),0)),"mmm yyyy")&amp;") to "&amp;TEXT(MAX(INDEX($B$5:$T$17,0,MATCH(Y$4,$B$4:$T$4,0))),"0.0%")&amp;" ("&amp;TEXT(INDEX($A$5:$A$17,MATCH(MAX(INDEX($B$5:$T$17,0,MATCH(Y$4,$B$4:$T$4,0))),INDEX($B$5:$T$17,0,MATCH(Y$4,$B$4:$T$4,0)),0)),"mmm yyyy")&amp;"), average monthly share "&amp;TEXT(AVERAGE(INDEX($B$5:$T$17,0,MATCH(Y$4,$B$4:$T$4,0))),"0.0%")&amp;"."</f>
        <v/>
      </c>
    </row>
    <row r="65" ht="18" customHeight="1">
      <c r="A65" s="4">
        <f>Z$4&amp;": from "&amp;TEXT(MIN(INDEX($B$5:$T$17,0,MATCH(Z$4,$B$4:$T$4,0))),"0.0%")&amp;" ("&amp;TEXT(INDEX($A$5:$A$17,MATCH(MIN(INDEX($B$5:$T$17,0,MATCH(Z$4,$B$4:$T$4,0))),INDEX($B$5:$T$17,0,MATCH(Z$4,$B$4:$T$4,0)),0)),"mmm yyyy")&amp;") to "&amp;TEXT(MAX(INDEX($B$5:$T$17,0,MATCH(Z$4,$B$4:$T$4,0))),"0.0%")&amp;" ("&amp;TEXT(INDEX($A$5:$A$17,MATCH(MAX(INDEX($B$5:$T$17,0,MATCH(Z$4,$B$4:$T$4,0))),INDEX($B$5:$T$17,0,MATCH(Z$4,$B$4:$T$4,0)),0)),"mmm yyyy")&amp;"), average monthly share "&amp;TEXT(AVERAGE(INDEX($B$5:$T$17,0,MATCH(Z$4,$B$4:$T$4,0))),"0.0%")&amp;"."</f>
        <v/>
      </c>
    </row>
    <row r="66" ht="18" customHeight="1">
      <c r="A66" s="4">
        <f>AA$4&amp;": from "&amp;TEXT(MIN(INDEX($B$5:$T$17,0,MATCH(AA$4,$B$4:$T$4,0))),"0.0%")&amp;" ("&amp;TEXT(INDEX($A$5:$A$17,MATCH(MIN(INDEX($B$5:$T$17,0,MATCH(AA$4,$B$4:$T$4,0))),INDEX($B$5:$T$17,0,MATCH(AA$4,$B$4:$T$4,0)),0)),"mmm yyyy")&amp;") to "&amp;TEXT(MAX(INDEX($B$5:$T$17,0,MATCH(AA$4,$B$4:$T$4,0))),"0.0%")&amp;" ("&amp;TEXT(INDEX($A$5:$A$17,MATCH(MAX(INDEX($B$5:$T$17,0,MATCH(AA$4,$B$4:$T$4,0))),INDEX($B$5:$T$17,0,MATCH(AA$4,$B$4:$T$4,0)),0)),"mmm yyyy")&amp;"), average monthly share "&amp;TEXT(AVERAGE(INDEX($B$5:$T$17,0,MATCH(AA$4,$B$4:$T$4,0))),"0.0%")&amp;"."</f>
        <v/>
      </c>
    </row>
    <row r="67" ht="18" customHeight="1">
      <c r="A67" s="4">
        <f>AB$4&amp;": from "&amp;TEXT(MIN(INDEX($B$5:$T$17,0,MATCH(AB$4,$B$4:$T$4,0))),"0.0%")&amp;" ("&amp;TEXT(INDEX($A$5:$A$17,MATCH(MIN(INDEX($B$5:$T$17,0,MATCH(AB$4,$B$4:$T$4,0))),INDEX($B$5:$T$17,0,MATCH(AB$4,$B$4:$T$4,0)),0)),"mmm yyyy")&amp;") to "&amp;TEXT(MAX(INDEX($B$5:$T$17,0,MATCH(AB$4,$B$4:$T$4,0))),"0.0%")&amp;" ("&amp;TEXT(INDEX($A$5:$A$17,MATCH(MAX(INDEX($B$5:$T$17,0,MATCH(AB$4,$B$4:$T$4,0))),INDEX($B$5:$T$17,0,MATCH(AB$4,$B$4:$T$4,0)),0)),"mmm yyyy")&amp;"), average monthly share "&amp;TEXT(AVERAGE(INDEX($B$5:$T$17,0,MATCH(AB$4,$B$4:$T$4,0))),"0.0%")&amp;"."</f>
        <v/>
      </c>
    </row>
  </sheetData>
  <mergeCells count="18">
    <mergeCell ref="A49:P49"/>
    <mergeCell ref="A51:P51"/>
    <mergeCell ref="A47:P47"/>
    <mergeCell ref="A63:P63"/>
    <mergeCell ref="A64:P64"/>
    <mergeCell ref="A66:P66"/>
    <mergeCell ref="A56:P56"/>
    <mergeCell ref="A67:P67"/>
    <mergeCell ref="A58:P58"/>
    <mergeCell ref="A53:P53"/>
    <mergeCell ref="A55:P55"/>
    <mergeCell ref="A50:P50"/>
    <mergeCell ref="A48:P48"/>
    <mergeCell ref="A54:P54"/>
    <mergeCell ref="A52:P52"/>
    <mergeCell ref="A59:P59"/>
    <mergeCell ref="A65:P65"/>
    <mergeCell ref="A57:P57"/>
  </mergeCells>
  <conditionalFormatting sqref="B5:T17">
    <cfRule type="colorScale" priority="1">
      <colorScale>
        <cfvo type="num" val="0"/>
        <cfvo type="num" val="0.15"/>
        <cfvo type="num" val="0.6"/>
        <color rgb="00FFFFFF"/>
        <color rgb="00F8C471"/>
        <color rgb="00C039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4" customWidth="1" min="4" max="4"/>
  </cols>
  <sheetData>
    <row r="1">
      <c r="A1" s="1" t="inlineStr">
        <is>
          <t>Report 3 – Percentage of credit notes per order type over the period</t>
        </is>
      </c>
    </row>
    <row r="2">
      <c r="A2" s="2" t="inlineStr">
        <is>
          <t>Change the yellow start / end months to re-cut the period. 'Unknown' excluded.</t>
        </is>
      </c>
    </row>
    <row r="3">
      <c r="A3" s="3" t="inlineStr">
        <is>
          <t>Start month</t>
        </is>
      </c>
      <c r="B3" s="7">
        <f>Inputs!A5</f>
        <v/>
      </c>
    </row>
    <row r="4">
      <c r="A4" s="3" t="inlineStr">
        <is>
          <t>End month</t>
        </is>
      </c>
      <c r="B4" s="7">
        <f>Inputs!A17</f>
        <v/>
      </c>
    </row>
    <row r="5">
      <c r="A5" s="3" t="inlineStr">
        <is>
          <t>Months in range</t>
        </is>
      </c>
      <c r="B5" s="12">
        <f>COUNTIFS(Inputs!$A$22:$A$34,"&gt;="&amp;$B$3,Inputs!$A$22:$A$34,"&lt;="&amp;$B$4)</f>
        <v/>
      </c>
    </row>
    <row r="7">
      <c r="A7" s="6" t="inlineStr">
        <is>
          <t>Rank</t>
        </is>
      </c>
      <c r="B7" s="6" t="inlineStr">
        <is>
          <t>Order type</t>
        </is>
      </c>
      <c r="C7" s="6" t="inlineStr">
        <is>
          <t>Share</t>
        </is>
      </c>
      <c r="D7" s="6" t="inlineStr">
        <is>
          <t>Running total</t>
        </is>
      </c>
    </row>
    <row r="8">
      <c r="A8" s="12" t="n">
        <v>1</v>
      </c>
      <c r="B8" s="12">
        <f>INDEX(Calc!$A$23:$A$41,MATCH(LARGE(Calc!$D$23:$D$41,A8),Calc!$D$23:$D$41,0))</f>
        <v/>
      </c>
      <c r="C8" s="18">
        <f>INDEX(Calc!$C$23:$C$41,MATCH(LARGE(Calc!$D$23:$D$41,A8),Calc!$D$23:$D$41,0))</f>
        <v/>
      </c>
      <c r="D8" s="16">
        <f>SUM($C$8:C8)</f>
        <v/>
      </c>
    </row>
    <row r="9">
      <c r="A9" s="12" t="n">
        <v>2</v>
      </c>
      <c r="B9" s="12">
        <f>INDEX(Calc!$A$23:$A$41,MATCH(LARGE(Calc!$D$23:$D$41,A9),Calc!$D$23:$D$41,0))</f>
        <v/>
      </c>
      <c r="C9" s="18">
        <f>INDEX(Calc!$C$23:$C$41,MATCH(LARGE(Calc!$D$23:$D$41,A9),Calc!$D$23:$D$41,0))</f>
        <v/>
      </c>
      <c r="D9" s="16">
        <f>SUM($C$8:C9)</f>
        <v/>
      </c>
    </row>
    <row r="10">
      <c r="A10" s="12" t="n">
        <v>3</v>
      </c>
      <c r="B10" s="12">
        <f>INDEX(Calc!$A$23:$A$41,MATCH(LARGE(Calc!$D$23:$D$41,A10),Calc!$D$23:$D$41,0))</f>
        <v/>
      </c>
      <c r="C10" s="18">
        <f>INDEX(Calc!$C$23:$C$41,MATCH(LARGE(Calc!$D$23:$D$41,A10),Calc!$D$23:$D$41,0))</f>
        <v/>
      </c>
      <c r="D10" s="16">
        <f>SUM($C$8:C10)</f>
        <v/>
      </c>
    </row>
    <row r="11">
      <c r="A11" s="12" t="n">
        <v>4</v>
      </c>
      <c r="B11" s="12">
        <f>INDEX(Calc!$A$23:$A$41,MATCH(LARGE(Calc!$D$23:$D$41,A11),Calc!$D$23:$D$41,0))</f>
        <v/>
      </c>
      <c r="C11" s="18">
        <f>INDEX(Calc!$C$23:$C$41,MATCH(LARGE(Calc!$D$23:$D$41,A11),Calc!$D$23:$D$41,0))</f>
        <v/>
      </c>
      <c r="D11" s="16">
        <f>SUM($C$8:C11)</f>
        <v/>
      </c>
    </row>
    <row r="12">
      <c r="A12" s="12" t="n">
        <v>5</v>
      </c>
      <c r="B12" s="12">
        <f>INDEX(Calc!$A$23:$A$41,MATCH(LARGE(Calc!$D$23:$D$41,A12),Calc!$D$23:$D$41,0))</f>
        <v/>
      </c>
      <c r="C12" s="18">
        <f>INDEX(Calc!$C$23:$C$41,MATCH(LARGE(Calc!$D$23:$D$41,A12),Calc!$D$23:$D$41,0))</f>
        <v/>
      </c>
      <c r="D12" s="16">
        <f>SUM($C$8:C12)</f>
        <v/>
      </c>
    </row>
    <row r="13">
      <c r="A13" s="12" t="n">
        <v>6</v>
      </c>
      <c r="B13" s="12">
        <f>INDEX(Calc!$A$23:$A$41,MATCH(LARGE(Calc!$D$23:$D$41,A13),Calc!$D$23:$D$41,0))</f>
        <v/>
      </c>
      <c r="C13" s="18">
        <f>INDEX(Calc!$C$23:$C$41,MATCH(LARGE(Calc!$D$23:$D$41,A13),Calc!$D$23:$D$41,0))</f>
        <v/>
      </c>
      <c r="D13" s="16">
        <f>SUM($C$8:C13)</f>
        <v/>
      </c>
    </row>
    <row r="14">
      <c r="A14" s="12" t="n">
        <v>7</v>
      </c>
      <c r="B14" s="12">
        <f>INDEX(Calc!$A$23:$A$41,MATCH(LARGE(Calc!$D$23:$D$41,A14),Calc!$D$23:$D$41,0))</f>
        <v/>
      </c>
      <c r="C14" s="18">
        <f>INDEX(Calc!$C$23:$C$41,MATCH(LARGE(Calc!$D$23:$D$41,A14),Calc!$D$23:$D$41,0))</f>
        <v/>
      </c>
      <c r="D14" s="16">
        <f>SUM($C$8:C14)</f>
        <v/>
      </c>
    </row>
    <row r="15">
      <c r="A15" s="12" t="n">
        <v>8</v>
      </c>
      <c r="B15" s="12">
        <f>INDEX(Calc!$A$23:$A$41,MATCH(LARGE(Calc!$D$23:$D$41,A15),Calc!$D$23:$D$41,0))</f>
        <v/>
      </c>
      <c r="C15" s="18">
        <f>INDEX(Calc!$C$23:$C$41,MATCH(LARGE(Calc!$D$23:$D$41,A15),Calc!$D$23:$D$41,0))</f>
        <v/>
      </c>
      <c r="D15" s="16">
        <f>SUM($C$8:C15)</f>
        <v/>
      </c>
    </row>
    <row r="16">
      <c r="A16" s="12" t="n">
        <v>9</v>
      </c>
      <c r="B16" s="12">
        <f>INDEX(Calc!$A$23:$A$41,MATCH(LARGE(Calc!$D$23:$D$41,A16),Calc!$D$23:$D$41,0))</f>
        <v/>
      </c>
      <c r="C16" s="18">
        <f>INDEX(Calc!$C$23:$C$41,MATCH(LARGE(Calc!$D$23:$D$41,A16),Calc!$D$23:$D$41,0))</f>
        <v/>
      </c>
      <c r="D16" s="16">
        <f>SUM($C$8:C16)</f>
        <v/>
      </c>
    </row>
    <row r="17">
      <c r="A17" s="12" t="n">
        <v>10</v>
      </c>
      <c r="B17" s="12">
        <f>INDEX(Calc!$A$23:$A$41,MATCH(LARGE(Calc!$D$23:$D$41,A17),Calc!$D$23:$D$41,0))</f>
        <v/>
      </c>
      <c r="C17" s="18">
        <f>INDEX(Calc!$C$23:$C$41,MATCH(LARGE(Calc!$D$23:$D$41,A17),Calc!$D$23:$D$41,0))</f>
        <v/>
      </c>
      <c r="D17" s="16">
        <f>SUM($C$8:C17)</f>
        <v/>
      </c>
    </row>
    <row r="18">
      <c r="A18" s="12" t="n">
        <v>11</v>
      </c>
      <c r="B18" s="12">
        <f>INDEX(Calc!$A$23:$A$41,MATCH(LARGE(Calc!$D$23:$D$41,A18),Calc!$D$23:$D$41,0))</f>
        <v/>
      </c>
      <c r="C18" s="18">
        <f>INDEX(Calc!$C$23:$C$41,MATCH(LARGE(Calc!$D$23:$D$41,A18),Calc!$D$23:$D$41,0))</f>
        <v/>
      </c>
      <c r="D18" s="16">
        <f>SUM($C$8:C18)</f>
        <v/>
      </c>
    </row>
    <row r="19">
      <c r="A19" s="12" t="n">
        <v>12</v>
      </c>
      <c r="B19" s="12">
        <f>INDEX(Calc!$A$23:$A$41,MATCH(LARGE(Calc!$D$23:$D$41,A19),Calc!$D$23:$D$41,0))</f>
        <v/>
      </c>
      <c r="C19" s="18">
        <f>INDEX(Calc!$C$23:$C$41,MATCH(LARGE(Calc!$D$23:$D$41,A19),Calc!$D$23:$D$41,0))</f>
        <v/>
      </c>
      <c r="D19" s="16">
        <f>SUM($C$8:C19)</f>
        <v/>
      </c>
    </row>
    <row r="20">
      <c r="A20" s="12" t="n">
        <v>13</v>
      </c>
      <c r="B20" s="12">
        <f>INDEX(Calc!$A$23:$A$41,MATCH(LARGE(Calc!$D$23:$D$41,A20),Calc!$D$23:$D$41,0))</f>
        <v/>
      </c>
      <c r="C20" s="18">
        <f>INDEX(Calc!$C$23:$C$41,MATCH(LARGE(Calc!$D$23:$D$41,A20),Calc!$D$23:$D$41,0))</f>
        <v/>
      </c>
      <c r="D20" s="16">
        <f>SUM($C$8:C20)</f>
        <v/>
      </c>
    </row>
    <row r="21">
      <c r="A21" s="12" t="n">
        <v>14</v>
      </c>
      <c r="B21" s="12">
        <f>INDEX(Calc!$A$23:$A$41,MATCH(LARGE(Calc!$D$23:$D$41,A21),Calc!$D$23:$D$41,0))</f>
        <v/>
      </c>
      <c r="C21" s="18">
        <f>INDEX(Calc!$C$23:$C$41,MATCH(LARGE(Calc!$D$23:$D$41,A21),Calc!$D$23:$D$41,0))</f>
        <v/>
      </c>
      <c r="D21" s="16">
        <f>SUM($C$8:C21)</f>
        <v/>
      </c>
    </row>
    <row r="22">
      <c r="A22" s="12" t="n">
        <v>15</v>
      </c>
      <c r="B22" s="12">
        <f>INDEX(Calc!$A$23:$A$41,MATCH(LARGE(Calc!$D$23:$D$41,A22),Calc!$D$23:$D$41,0))</f>
        <v/>
      </c>
      <c r="C22" s="18">
        <f>INDEX(Calc!$C$23:$C$41,MATCH(LARGE(Calc!$D$23:$D$41,A22),Calc!$D$23:$D$41,0))</f>
        <v/>
      </c>
      <c r="D22" s="16">
        <f>SUM($C$8:C22)</f>
        <v/>
      </c>
    </row>
    <row r="23">
      <c r="A23" s="12" t="n">
        <v>16</v>
      </c>
      <c r="B23" s="12">
        <f>INDEX(Calc!$A$23:$A$41,MATCH(LARGE(Calc!$D$23:$D$41,A23),Calc!$D$23:$D$41,0))</f>
        <v/>
      </c>
      <c r="C23" s="18">
        <f>INDEX(Calc!$C$23:$C$41,MATCH(LARGE(Calc!$D$23:$D$41,A23),Calc!$D$23:$D$41,0))</f>
        <v/>
      </c>
      <c r="D23" s="16">
        <f>SUM($C$8:C23)</f>
        <v/>
      </c>
    </row>
    <row r="24">
      <c r="A24" s="12" t="n">
        <v>17</v>
      </c>
      <c r="B24" s="12">
        <f>INDEX(Calc!$A$23:$A$41,MATCH(LARGE(Calc!$D$23:$D$41,A24),Calc!$D$23:$D$41,0))</f>
        <v/>
      </c>
      <c r="C24" s="18">
        <f>INDEX(Calc!$C$23:$C$41,MATCH(LARGE(Calc!$D$23:$D$41,A24),Calc!$D$23:$D$41,0))</f>
        <v/>
      </c>
      <c r="D24" s="16">
        <f>SUM($C$8:C24)</f>
        <v/>
      </c>
    </row>
    <row r="25">
      <c r="A25" s="12" t="n">
        <v>18</v>
      </c>
      <c r="B25" s="12">
        <f>INDEX(Calc!$A$23:$A$41,MATCH(LARGE(Calc!$D$23:$D$41,A25),Calc!$D$23:$D$41,0))</f>
        <v/>
      </c>
      <c r="C25" s="18">
        <f>INDEX(Calc!$C$23:$C$41,MATCH(LARGE(Calc!$D$23:$D$41,A25),Calc!$D$23:$D$41,0))</f>
        <v/>
      </c>
      <c r="D25" s="16">
        <f>SUM($C$8:C25)</f>
        <v/>
      </c>
    </row>
    <row r="26">
      <c r="A26" s="12" t="n">
        <v>19</v>
      </c>
      <c r="B26" s="12">
        <f>INDEX(Calc!$A$23:$A$41,MATCH(LARGE(Calc!$D$23:$D$41,A26),Calc!$D$23:$D$41,0))</f>
        <v/>
      </c>
      <c r="C26" s="18">
        <f>INDEX(Calc!$C$23:$C$41,MATCH(LARGE(Calc!$D$23:$D$41,A26),Calc!$D$23:$D$41,0))</f>
        <v/>
      </c>
      <c r="D26" s="16">
        <f>SUM($C$8:C26)</f>
        <v/>
      </c>
    </row>
    <row r="28">
      <c r="A28" s="5" t="inlineStr">
        <is>
          <t>Doughnut data (top 4 + all other types)</t>
        </is>
      </c>
    </row>
    <row r="29">
      <c r="B29" s="6" t="inlineStr">
        <is>
          <t>Order type</t>
        </is>
      </c>
      <c r="C29" s="6" t="inlineStr">
        <is>
          <t>Share</t>
        </is>
      </c>
    </row>
    <row r="30">
      <c r="B30" s="12">
        <f>B8</f>
        <v/>
      </c>
      <c r="C30" s="16">
        <f>C8</f>
        <v/>
      </c>
    </row>
    <row r="31">
      <c r="B31" s="12">
        <f>B9</f>
        <v/>
      </c>
      <c r="C31" s="16">
        <f>C9</f>
        <v/>
      </c>
    </row>
    <row r="32">
      <c r="B32" s="12">
        <f>B10</f>
        <v/>
      </c>
      <c r="C32" s="16">
        <f>C10</f>
        <v/>
      </c>
    </row>
    <row r="33">
      <c r="B33" s="12">
        <f>B11</f>
        <v/>
      </c>
      <c r="C33" s="16">
        <f>C11</f>
        <v/>
      </c>
    </row>
    <row r="34">
      <c r="B34" s="12" t="inlineStr">
        <is>
          <t>All other types</t>
        </is>
      </c>
      <c r="C34" s="16">
        <f>MAX(0,1-SUM(C30:C33))</f>
        <v/>
      </c>
    </row>
    <row r="37">
      <c r="A37" s="5" t="inlineStr">
        <is>
          <t>Brief on each order type</t>
        </is>
      </c>
    </row>
    <row r="38">
      <c r="A38" s="4">
        <f>"Period: "&amp;TEXT($B$3,"mmm yyyy")&amp;" to "&amp;TEXT($B$4,"mmm yyyy")&amp;" ("&amp;$B$5&amp;" months). The top 3 order types make up "&amp;TEXT(D10,"0.0%")&amp;" of all credit notes."</f>
        <v/>
      </c>
    </row>
    <row r="39" ht="18" customHeight="1">
      <c r="A39" s="4">
        <f>B8&amp;": "&amp;IF(C8&lt;0.0001,"&lt;0.01%",TEXT(C8,IF(C8&lt;0.01,"0.00%","0.0%")))&amp;" of credit notes in the period (running total "&amp;TEXT(D8,"0.0%")&amp;"). Present in "&amp;INDEX(Calc!$E$23:$E$41,MATCH(B8,Calc!$A$23:$A$41,0))&amp;" of "&amp;$B$5&amp;" months; highest monthly share "&amp;TEXT(INDEX(Calc!$F$23:$F$41,MATCH(B8,Calc!$A$23:$A$41,0)),"0.0%")&amp;" in "&amp;TEXT(INDEX(Calc!$G$23:$G$41,MATCH(B8,Calc!$A$23:$A$41,0)),"mmm yyyy")&amp;"."</f>
        <v/>
      </c>
    </row>
    <row r="40" ht="18" customHeight="1">
      <c r="A40" s="4">
        <f>B9&amp;": "&amp;IF(C9&lt;0.0001,"&lt;0.01%",TEXT(C9,IF(C9&lt;0.01,"0.00%","0.0%")))&amp;" of credit notes in the period (running total "&amp;TEXT(D9,"0.0%")&amp;"). Present in "&amp;INDEX(Calc!$E$23:$E$41,MATCH(B9,Calc!$A$23:$A$41,0))&amp;" of "&amp;$B$5&amp;" months; highest monthly share "&amp;TEXT(INDEX(Calc!$F$23:$F$41,MATCH(B9,Calc!$A$23:$A$41,0)),"0.0%")&amp;" in "&amp;TEXT(INDEX(Calc!$G$23:$G$41,MATCH(B9,Calc!$A$23:$A$41,0)),"mmm yyyy")&amp;"."</f>
        <v/>
      </c>
    </row>
    <row r="41" ht="18" customHeight="1">
      <c r="A41" s="4">
        <f>B10&amp;": "&amp;IF(C10&lt;0.0001,"&lt;0.01%",TEXT(C10,IF(C10&lt;0.01,"0.00%","0.0%")))&amp;" of credit notes in the period (running total "&amp;TEXT(D10,"0.0%")&amp;"). Present in "&amp;INDEX(Calc!$E$23:$E$41,MATCH(B10,Calc!$A$23:$A$41,0))&amp;" of "&amp;$B$5&amp;" months; highest monthly share "&amp;TEXT(INDEX(Calc!$F$23:$F$41,MATCH(B10,Calc!$A$23:$A$41,0)),"0.0%")&amp;" in "&amp;TEXT(INDEX(Calc!$G$23:$G$41,MATCH(B10,Calc!$A$23:$A$41,0)),"mmm yyyy")&amp;"."</f>
        <v/>
      </c>
    </row>
    <row r="42" ht="18" customHeight="1">
      <c r="A42" s="4">
        <f>B11&amp;": "&amp;IF(C11&lt;0.0001,"&lt;0.01%",TEXT(C11,IF(C11&lt;0.01,"0.00%","0.0%")))&amp;" of credit notes in the period (running total "&amp;TEXT(D11,"0.0%")&amp;"). Present in "&amp;INDEX(Calc!$E$23:$E$41,MATCH(B11,Calc!$A$23:$A$41,0))&amp;" of "&amp;$B$5&amp;" months; highest monthly share "&amp;TEXT(INDEX(Calc!$F$23:$F$41,MATCH(B11,Calc!$A$23:$A$41,0)),"0.0%")&amp;" in "&amp;TEXT(INDEX(Calc!$G$23:$G$41,MATCH(B11,Calc!$A$23:$A$41,0)),"mmm yyyy")&amp;"."</f>
        <v/>
      </c>
    </row>
    <row r="43" ht="18" customHeight="1">
      <c r="A43" s="4">
        <f>B12&amp;": "&amp;IF(C12&lt;0.0001,"&lt;0.01%",TEXT(C12,IF(C12&lt;0.01,"0.00%","0.0%")))&amp;" of credit notes in the period (running total "&amp;TEXT(D12,"0.0%")&amp;"). Present in "&amp;INDEX(Calc!$E$23:$E$41,MATCH(B12,Calc!$A$23:$A$41,0))&amp;" of "&amp;$B$5&amp;" months; highest monthly share "&amp;TEXT(INDEX(Calc!$F$23:$F$41,MATCH(B12,Calc!$A$23:$A$41,0)),"0.0%")&amp;" in "&amp;TEXT(INDEX(Calc!$G$23:$G$41,MATCH(B12,Calc!$A$23:$A$41,0)),"mmm yyyy")&amp;"."</f>
        <v/>
      </c>
    </row>
    <row r="44" ht="18" customHeight="1">
      <c r="A44" s="4">
        <f>B13&amp;": "&amp;IF(C13&lt;0.0001,"&lt;0.01%",TEXT(C13,IF(C13&lt;0.01,"0.00%","0.0%")))&amp;" of credit notes in the period (running total "&amp;TEXT(D13,"0.0%")&amp;"). Present in "&amp;INDEX(Calc!$E$23:$E$41,MATCH(B13,Calc!$A$23:$A$41,0))&amp;" of "&amp;$B$5&amp;" months; highest monthly share "&amp;TEXT(INDEX(Calc!$F$23:$F$41,MATCH(B13,Calc!$A$23:$A$41,0)),"0.0%")&amp;" in "&amp;TEXT(INDEX(Calc!$G$23:$G$41,MATCH(B13,Calc!$A$23:$A$41,0)),"mmm yyyy")&amp;"."</f>
        <v/>
      </c>
    </row>
    <row r="45" ht="18" customHeight="1">
      <c r="A45" s="4">
        <f>B14&amp;": "&amp;IF(C14&lt;0.0001,"&lt;0.01%",TEXT(C14,IF(C14&lt;0.01,"0.00%","0.0%")))&amp;" of credit notes in the period (running total "&amp;TEXT(D14,"0.0%")&amp;"). Present in "&amp;INDEX(Calc!$E$23:$E$41,MATCH(B14,Calc!$A$23:$A$41,0))&amp;" of "&amp;$B$5&amp;" months; highest monthly share "&amp;TEXT(INDEX(Calc!$F$23:$F$41,MATCH(B14,Calc!$A$23:$A$41,0)),"0.0%")&amp;" in "&amp;TEXT(INDEX(Calc!$G$23:$G$41,MATCH(B14,Calc!$A$23:$A$41,0)),"mmm yyyy")&amp;"."</f>
        <v/>
      </c>
    </row>
    <row r="46" ht="18" customHeight="1">
      <c r="A46" s="4">
        <f>B15&amp;": "&amp;IF(C15&lt;0.0001,"&lt;0.01%",TEXT(C15,IF(C15&lt;0.01,"0.00%","0.0%")))&amp;" of credit notes in the period (running total "&amp;TEXT(D15,"0.0%")&amp;"). Present in "&amp;INDEX(Calc!$E$23:$E$41,MATCH(B15,Calc!$A$23:$A$41,0))&amp;" of "&amp;$B$5&amp;" months; highest monthly share "&amp;TEXT(INDEX(Calc!$F$23:$F$41,MATCH(B15,Calc!$A$23:$A$41,0)),"0.0%")&amp;" in "&amp;TEXT(INDEX(Calc!$G$23:$G$41,MATCH(B15,Calc!$A$23:$A$41,0)),"mmm yyyy")&amp;"."</f>
        <v/>
      </c>
    </row>
    <row r="47" ht="18" customHeight="1">
      <c r="A47" s="4">
        <f>B16&amp;": "&amp;IF(C16&lt;0.0001,"&lt;0.01%",TEXT(C16,IF(C16&lt;0.01,"0.00%","0.0%")))&amp;" of credit notes in the period (running total "&amp;TEXT(D16,"0.0%")&amp;"). Present in "&amp;INDEX(Calc!$E$23:$E$41,MATCH(B16,Calc!$A$23:$A$41,0))&amp;" of "&amp;$B$5&amp;" months; highest monthly share "&amp;TEXT(INDEX(Calc!$F$23:$F$41,MATCH(B16,Calc!$A$23:$A$41,0)),"0.0%")&amp;" in "&amp;TEXT(INDEX(Calc!$G$23:$G$41,MATCH(B16,Calc!$A$23:$A$41,0)),"mmm yyyy")&amp;"."</f>
        <v/>
      </c>
    </row>
    <row r="48" ht="18" customHeight="1">
      <c r="A48" s="4">
        <f>B17&amp;": "&amp;IF(C17&lt;0.0001,"&lt;0.01%",TEXT(C17,IF(C17&lt;0.01,"0.00%","0.0%")))&amp;" of credit notes in the period (running total "&amp;TEXT(D17,"0.0%")&amp;"). Present in "&amp;INDEX(Calc!$E$23:$E$41,MATCH(B17,Calc!$A$23:$A$41,0))&amp;" of "&amp;$B$5&amp;" months; highest monthly share "&amp;TEXT(INDEX(Calc!$F$23:$F$41,MATCH(B17,Calc!$A$23:$A$41,0)),"0.0%")&amp;" in "&amp;TEXT(INDEX(Calc!$G$23:$G$41,MATCH(B17,Calc!$A$23:$A$41,0)),"mmm yyyy")&amp;"."</f>
        <v/>
      </c>
    </row>
    <row r="49" ht="18" customHeight="1">
      <c r="A49" s="4">
        <f>B18&amp;": "&amp;IF(C18&lt;0.0001,"&lt;0.01%",TEXT(C18,IF(C18&lt;0.01,"0.00%","0.0%")))&amp;" of credit notes in the period (running total "&amp;TEXT(D18,"0.0%")&amp;"). Present in "&amp;INDEX(Calc!$E$23:$E$41,MATCH(B18,Calc!$A$23:$A$41,0))&amp;" of "&amp;$B$5&amp;" months; highest monthly share "&amp;TEXT(INDEX(Calc!$F$23:$F$41,MATCH(B18,Calc!$A$23:$A$41,0)),"0.0%")&amp;" in "&amp;TEXT(INDEX(Calc!$G$23:$G$41,MATCH(B18,Calc!$A$23:$A$41,0)),"mmm yyyy")&amp;"."</f>
        <v/>
      </c>
    </row>
    <row r="50" ht="18" customHeight="1">
      <c r="A50" s="4">
        <f>B19&amp;": "&amp;IF(C19&lt;0.0001,"&lt;0.01%",TEXT(C19,IF(C19&lt;0.01,"0.00%","0.0%")))&amp;" of credit notes in the period (running total "&amp;TEXT(D19,"0.0%")&amp;"). Present in "&amp;INDEX(Calc!$E$23:$E$41,MATCH(B19,Calc!$A$23:$A$41,0))&amp;" of "&amp;$B$5&amp;" months; highest monthly share "&amp;TEXT(INDEX(Calc!$F$23:$F$41,MATCH(B19,Calc!$A$23:$A$41,0)),"0.0%")&amp;" in "&amp;TEXT(INDEX(Calc!$G$23:$G$41,MATCH(B19,Calc!$A$23:$A$41,0)),"mmm yyyy")&amp;"."</f>
        <v/>
      </c>
    </row>
    <row r="51" ht="18" customHeight="1">
      <c r="A51" s="4">
        <f>B20&amp;": "&amp;IF(C20&lt;0.0001,"&lt;0.01%",TEXT(C20,IF(C20&lt;0.01,"0.00%","0.0%")))&amp;" of credit notes in the period (running total "&amp;TEXT(D20,"0.0%")&amp;"). Present in "&amp;INDEX(Calc!$E$23:$E$41,MATCH(B20,Calc!$A$23:$A$41,0))&amp;" of "&amp;$B$5&amp;" months; highest monthly share "&amp;TEXT(INDEX(Calc!$F$23:$F$41,MATCH(B20,Calc!$A$23:$A$41,0)),"0.0%")&amp;" in "&amp;TEXT(INDEX(Calc!$G$23:$G$41,MATCH(B20,Calc!$A$23:$A$41,0)),"mmm yyyy")&amp;"."</f>
        <v/>
      </c>
    </row>
    <row r="52" ht="18" customHeight="1">
      <c r="A52" s="4">
        <f>B21&amp;": "&amp;IF(C21&lt;0.0001,"&lt;0.01%",TEXT(C21,IF(C21&lt;0.01,"0.00%","0.0%")))&amp;" of credit notes in the period (running total "&amp;TEXT(D21,"0.0%")&amp;"). Present in "&amp;INDEX(Calc!$E$23:$E$41,MATCH(B21,Calc!$A$23:$A$41,0))&amp;" of "&amp;$B$5&amp;" months; highest monthly share "&amp;TEXT(INDEX(Calc!$F$23:$F$41,MATCH(B21,Calc!$A$23:$A$41,0)),"0.0%")&amp;" in "&amp;TEXT(INDEX(Calc!$G$23:$G$41,MATCH(B21,Calc!$A$23:$A$41,0)),"mmm yyyy")&amp;"."</f>
        <v/>
      </c>
    </row>
    <row r="53" ht="18" customHeight="1">
      <c r="A53" s="4">
        <f>B22&amp;": "&amp;IF(C22&lt;0.0001,"&lt;0.01%",TEXT(C22,IF(C22&lt;0.01,"0.00%","0.0%")))&amp;" of credit notes in the period (running total "&amp;TEXT(D22,"0.0%")&amp;"). Present in "&amp;INDEX(Calc!$E$23:$E$41,MATCH(B22,Calc!$A$23:$A$41,0))&amp;" of "&amp;$B$5&amp;" months; highest monthly share "&amp;TEXT(INDEX(Calc!$F$23:$F$41,MATCH(B22,Calc!$A$23:$A$41,0)),"0.0%")&amp;" in "&amp;TEXT(INDEX(Calc!$G$23:$G$41,MATCH(B22,Calc!$A$23:$A$41,0)),"mmm yyyy")&amp;"."</f>
        <v/>
      </c>
    </row>
    <row r="54" ht="18" customHeight="1">
      <c r="A54" s="4">
        <f>B23&amp;": "&amp;IF(C23&lt;0.0001,"&lt;0.01%",TEXT(C23,IF(C23&lt;0.01,"0.00%","0.0%")))&amp;" of credit notes in the period (running total "&amp;TEXT(D23,"0.0%")&amp;"). Present in "&amp;INDEX(Calc!$E$23:$E$41,MATCH(B23,Calc!$A$23:$A$41,0))&amp;" of "&amp;$B$5&amp;" months; highest monthly share "&amp;TEXT(INDEX(Calc!$F$23:$F$41,MATCH(B23,Calc!$A$23:$A$41,0)),"0.0%")&amp;" in "&amp;TEXT(INDEX(Calc!$G$23:$G$41,MATCH(B23,Calc!$A$23:$A$41,0)),"mmm yyyy")&amp;"."</f>
        <v/>
      </c>
    </row>
    <row r="55" ht="18" customHeight="1">
      <c r="A55" s="4">
        <f>B24&amp;": "&amp;IF(C24&lt;0.0001,"&lt;0.01%",TEXT(C24,IF(C24&lt;0.01,"0.00%","0.0%")))&amp;" of credit notes in the period (running total "&amp;TEXT(D24,"0.0%")&amp;"). Present in "&amp;INDEX(Calc!$E$23:$E$41,MATCH(B24,Calc!$A$23:$A$41,0))&amp;" of "&amp;$B$5&amp;" months; highest monthly share "&amp;TEXT(INDEX(Calc!$F$23:$F$41,MATCH(B24,Calc!$A$23:$A$41,0)),"0.0%")&amp;" in "&amp;TEXT(INDEX(Calc!$G$23:$G$41,MATCH(B24,Calc!$A$23:$A$41,0)),"mmm yyyy")&amp;"."</f>
        <v/>
      </c>
    </row>
    <row r="56" ht="18" customHeight="1">
      <c r="A56" s="4">
        <f>B25&amp;": "&amp;IF(C25&lt;0.0001,"&lt;0.01%",TEXT(C25,IF(C25&lt;0.01,"0.00%","0.0%")))&amp;" of credit notes in the period (running total "&amp;TEXT(D25,"0.0%")&amp;"). Present in "&amp;INDEX(Calc!$E$23:$E$41,MATCH(B25,Calc!$A$23:$A$41,0))&amp;" of "&amp;$B$5&amp;" months; highest monthly share "&amp;TEXT(INDEX(Calc!$F$23:$F$41,MATCH(B25,Calc!$A$23:$A$41,0)),"0.0%")&amp;" in "&amp;TEXT(INDEX(Calc!$G$23:$G$41,MATCH(B25,Calc!$A$23:$A$41,0)),"mmm yyyy")&amp;"."</f>
        <v/>
      </c>
    </row>
    <row r="57" ht="18" customHeight="1">
      <c r="A57" s="4">
        <f>B26&amp;": "&amp;IF(C26&lt;0.0001,"&lt;0.01%",TEXT(C26,IF(C26&lt;0.01,"0.00%","0.0%")))&amp;" of credit notes in the period (running total "&amp;TEXT(D26,"0.0%")&amp;"). Present in "&amp;INDEX(Calc!$E$23:$E$41,MATCH(B26,Calc!$A$23:$A$41,0))&amp;" of "&amp;$B$5&amp;" months; highest monthly share "&amp;TEXT(INDEX(Calc!$F$23:$F$41,MATCH(B26,Calc!$A$23:$A$41,0)),"0.0%")&amp;" in "&amp;TEXT(INDEX(Calc!$G$23:$G$41,MATCH(B26,Calc!$A$23:$A$41,0)),"mmm yyyy")&amp;"."</f>
        <v/>
      </c>
    </row>
  </sheetData>
  <mergeCells count="20">
    <mergeCell ref="A47:P47"/>
    <mergeCell ref="A42:P42"/>
    <mergeCell ref="A53:P53"/>
    <mergeCell ref="A38:P38"/>
    <mergeCell ref="A52:P52"/>
    <mergeCell ref="A43:P43"/>
    <mergeCell ref="A44:P44"/>
    <mergeCell ref="A40:P40"/>
    <mergeCell ref="A39:P39"/>
    <mergeCell ref="A48:P48"/>
    <mergeCell ref="A49:P49"/>
    <mergeCell ref="A51:P51"/>
    <mergeCell ref="A45:P45"/>
    <mergeCell ref="A54:P54"/>
    <mergeCell ref="A41:P41"/>
    <mergeCell ref="A46:P46"/>
    <mergeCell ref="A56:P56"/>
    <mergeCell ref="A55:P55"/>
    <mergeCell ref="A50:P50"/>
    <mergeCell ref="A57:P57"/>
  </mergeCells>
  <conditionalFormatting sqref="C8:C26">
    <cfRule type="colorScale" priority="1">
      <colorScale>
        <cfvo type="num" val="0"/>
        <cfvo type="num" val="0.1"/>
        <cfvo type="num" val="0.6"/>
        <color rgb="00FFFFFF"/>
        <color rgb="00F8C471"/>
        <color rgb="00C039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2026-09-27T13:18:28Z</dcterms:created>
  <dcterms:modified xmlns:dcterms="http://purl.org/dc/terms/" xmlns:xsi="http://www.w3.org/2001/XMLSchema-instance" xsi:type="dcterms:W3CDTF">2026-09-27T13:18:28Z</dcterms:modified>
</cp:coreProperties>
</file>